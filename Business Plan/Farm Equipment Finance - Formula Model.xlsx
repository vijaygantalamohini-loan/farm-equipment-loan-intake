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ed Budget (Formulas)" sheetId="1" r:id="rId1"/>
    <sheet name="Dealer Economics (Formulas)" sheetId="2" r:id="rId2"/>
    <sheet name="Unit Economics (Formulas)" sheetId="3" r:id="rId3"/>
    <sheet name="Break-Even (Formulas)" sheetId="4" r:id="rId4"/>
    <sheet name="Lender Economics (Formulas)" sheetId="5" r:id="rId5"/>
    <sheet name="Scenario Tester" sheetId="6" r:id="rId6"/>
  </sheets>
  <calcPr calcId="124519" fullCalcOnLoad="1"/>
</workbook>
</file>

<file path=xl/sharedStrings.xml><?xml version="1.0" encoding="utf-8"?>
<sst xmlns="http://schemas.openxmlformats.org/spreadsheetml/2006/main" count="663" uniqueCount="430">
  <si>
    <t>Version 1.0 - With Formulas | December 2025</t>
  </si>
  <si>
    <t>CATEGORY</t>
  </si>
  <si>
    <t>TEAM SALARIES</t>
  </si>
  <si>
    <t>CTO/VP Engineering (FTE)</t>
  </si>
  <si>
    <t>VP Partnerships (FTE)</t>
  </si>
  <si>
    <t>Head of Product (FTE)</t>
  </si>
  <si>
    <t>CS/Operations (0.5 FTE)</t>
  </si>
  <si>
    <t>Contract Engineers</t>
  </si>
  <si>
    <t>INFRASTRUCTURE &amp; AWS</t>
  </si>
  <si>
    <t>Compute (EC2)</t>
  </si>
  <si>
    <t>Database (RDS)</t>
  </si>
  <si>
    <t>Storage (S3)</t>
  </si>
  <si>
    <t>CDN &amp; Networking</t>
  </si>
  <si>
    <t>Databricks</t>
  </si>
  <si>
    <t>Monitoring &amp; Backup</t>
  </si>
  <si>
    <t>LENDER INTEGRATION</t>
  </si>
  <si>
    <t>Lender #1 Integration</t>
  </si>
  <si>
    <t>Lender #2 Integration</t>
  </si>
  <si>
    <t>DMS Integration</t>
  </si>
  <si>
    <t>Equipment Registry Lookup</t>
  </si>
  <si>
    <t>DEALER ONBOARDING</t>
  </si>
  <si>
    <t>IEDA Events &amp; Sponsorship</t>
  </si>
  <si>
    <t>Dealer Travel</t>
  </si>
  <si>
    <t>Onboarding Support &amp; Tools</t>
  </si>
  <si>
    <t>Training Materials</t>
  </si>
  <si>
    <t>TRAVEL &amp; EVENTS</t>
  </si>
  <si>
    <t>VP Partnerships Travel</t>
  </si>
  <si>
    <t>CEO Travel</t>
  </si>
  <si>
    <t>Events &amp; Conferences</t>
  </si>
  <si>
    <t>LEGAL &amp; COMPLIANCE</t>
  </si>
  <si>
    <t>Corporate Formation</t>
  </si>
  <si>
    <t>Data Processing Agreements</t>
  </si>
  <si>
    <t>Privacy &amp; Terms</t>
  </si>
  <si>
    <t>Lender LOI Templates</t>
  </si>
  <si>
    <t>GLBA/Compliance Review</t>
  </si>
  <si>
    <t>SOC 2 Preparation</t>
  </si>
  <si>
    <t>CONTINGENCY (9%)</t>
  </si>
  <si>
    <t>TOTAL MONTHLY BURN</t>
  </si>
  <si>
    <t>CUMULATIVE BURN</t>
  </si>
  <si>
    <t>TOTAL SEED CAPITAL NEEDED</t>
  </si>
  <si>
    <t>Month 1</t>
  </si>
  <si>
    <t>10000</t>
  </si>
  <si>
    <t>3000</t>
  </si>
  <si>
    <t>1500</t>
  </si>
  <si>
    <t>500</t>
  </si>
  <si>
    <t>0</t>
  </si>
  <si>
    <t>1000</t>
  </si>
  <si>
    <t>300</t>
  </si>
  <si>
    <t>700</t>
  </si>
  <si>
    <t>2000</t>
  </si>
  <si>
    <t>Month 2</t>
  </si>
  <si>
    <t>12000</t>
  </si>
  <si>
    <t>4000</t>
  </si>
  <si>
    <t>400</t>
  </si>
  <si>
    <t>600</t>
  </si>
  <si>
    <t>8000</t>
  </si>
  <si>
    <t>2500</t>
  </si>
  <si>
    <t>3500</t>
  </si>
  <si>
    <t>Month 3</t>
  </si>
  <si>
    <t>13000</t>
  </si>
  <si>
    <t>4500</t>
  </si>
  <si>
    <t>2200</t>
  </si>
  <si>
    <t>1800</t>
  </si>
  <si>
    <t>1200</t>
  </si>
  <si>
    <t>1600</t>
  </si>
  <si>
    <t>5000</t>
  </si>
  <si>
    <t>Month 4</t>
  </si>
  <si>
    <t>14000</t>
  </si>
  <si>
    <t>Month 5</t>
  </si>
  <si>
    <t>Month 6</t>
  </si>
  <si>
    <t>FARM EQUIPMENT FINANCE - SEED PHASE BUDGET</t>
  </si>
  <si>
    <t>PILOT DEALER PROFILE</t>
  </si>
  <si>
    <t>BASELINE (MANUAL PROCESS)</t>
  </si>
  <si>
    <t>Applications per year</t>
  </si>
  <si>
    <t>Time per application (manual) - minutes</t>
  </si>
  <si>
    <t>Total hours manual annually</t>
  </si>
  <si>
    <t>Finance staff hourly rate</t>
  </si>
  <si>
    <t>Annual labor cost (manual)</t>
  </si>
  <si>
    <t>PLATFORM PROCESS</t>
  </si>
  <si>
    <t>Time per application (platform) - minutes</t>
  </si>
  <si>
    <t>Total hours platform annually</t>
  </si>
  <si>
    <t>Annual labor cost (platform)</t>
  </si>
  <si>
    <t>ROI CALCULATION</t>
  </si>
  <si>
    <t>Annual time savings (hours)</t>
  </si>
  <si>
    <t>Annual cost savings</t>
  </si>
  <si>
    <t>Finance staff retention benefit</t>
  </si>
  <si>
    <t>Approval rate improvement</t>
  </si>
  <si>
    <t>Incremental equipment sales (est)</t>
  </si>
  <si>
    <t>Gross profit per sale (estimate)</t>
  </si>
  <si>
    <t>Gross profit from better approvals</t>
  </si>
  <si>
    <t>TOTAL ANNUAL DEALER ROI</t>
  </si>
  <si>
    <t>DEALER WILLINGNESS TO PAY</t>
  </si>
  <si>
    <t>Monthly SaaS fee (Lite)</t>
  </si>
  <si>
    <t>Monthly SaaS fee (Standard)</t>
  </si>
  <si>
    <t>Monthly SaaS fee (Premium)</t>
  </si>
  <si>
    <t>Average monthly fee (blended)</t>
  </si>
  <si>
    <t>Annual SaaS cost</t>
  </si>
  <si>
    <t>ROI multiple</t>
  </si>
  <si>
    <t>Payback period (months)</t>
  </si>
  <si>
    <t>Value</t>
  </si>
  <si>
    <t>350</t>
  </si>
  <si>
    <t>52.5</t>
  </si>
  <si>
    <t>60</t>
  </si>
  <si>
    <t>17.5</t>
  </si>
  <si>
    <t>15000</t>
  </si>
  <si>
    <t>0.2</t>
  </si>
  <si>
    <t>500000</t>
  </si>
  <si>
    <t>0.15</t>
  </si>
  <si>
    <t>Formula</t>
  </si>
  <si>
    <t>Base input</t>
  </si>
  <si>
    <t>Same volume</t>
  </si>
  <si>
    <t>Same rate</t>
  </si>
  <si>
    <t>Estimated</t>
  </si>
  <si>
    <t>Decimal: 20%</t>
  </si>
  <si>
    <t>Based on faster approvals</t>
  </si>
  <si>
    <t>Decimal: 15%</t>
  </si>
  <si>
    <t>Target pricing</t>
  </si>
  <si>
    <t>Notes</t>
  </si>
  <si>
    <t>Typical mid-sized dealer</t>
  </si>
  <si>
    <t>Average of 45-60 min range</t>
  </si>
  <si>
    <t>Minutes converted to hours</t>
  </si>
  <si>
    <t>Typical FTE loaded cost</t>
  </si>
  <si>
    <t>Total annual cost for applications</t>
  </si>
  <si>
    <t>No volume change</t>
  </si>
  <si>
    <t>Average of 15-20 min range</t>
  </si>
  <si>
    <t>No change in wage</t>
  </si>
  <si>
    <t>Total annual cost with platform</t>
  </si>
  <si>
    <t>Hours saved per year</t>
  </si>
  <si>
    <t>Labor cost reduction</t>
  </si>
  <si>
    <t>Reduced turnover cost</t>
  </si>
  <si>
    <t>70% to 90%</t>
  </si>
  <si>
    <t>Conservative estimate</t>
  </si>
  <si>
    <t>Equipment financing margin</t>
  </si>
  <si>
    <t>Incremental revenue opportunity</t>
  </si>
  <si>
    <t>Labor + retention + gross profit</t>
  </si>
  <si>
    <t>Basic tier</t>
  </si>
  <si>
    <t>Advanced tier</t>
  </si>
  <si>
    <t>Full featured</t>
  </si>
  <si>
    <t>Blended across tiers</t>
  </si>
  <si>
    <t>Annual commitment</t>
  </si>
  <si>
    <t>Dealer ROI vs SaaS cost</t>
  </si>
  <si>
    <t>Months to recover SaaS spend from annual ROI</t>
  </si>
  <si>
    <t>DEALER ROI ANALYSIS - Labor Savings Calculation</t>
  </si>
  <si>
    <t>METRIC</t>
  </si>
  <si>
    <t>DEALERS &amp; GROWTH</t>
  </si>
  <si>
    <t>Dealers at year-end</t>
  </si>
  <si>
    <t>New dealers added (cohort)</t>
  </si>
  <si>
    <t>Churn rate</t>
  </si>
  <si>
    <t>Net dealer growth</t>
  </si>
  <si>
    <t>REVENUE PER DEALER (MRR)</t>
  </si>
  <si>
    <t>Blended monthly fee (ARPU)</t>
  </si>
  <si>
    <t>Free pilot dealers (Y1-M6)</t>
  </si>
  <si>
    <t>Paid dealers at year-end</t>
  </si>
  <si>
    <t>Monthly Recurring Revenue</t>
  </si>
  <si>
    <t>Annual Recurring Revenue (ARR)</t>
  </si>
  <si>
    <t>CUSTOMER ACQUISITION COST (CAC)</t>
  </si>
  <si>
    <t>Sales &amp; marketing spend (annual)</t>
  </si>
  <si>
    <t>New dealers acquired</t>
  </si>
  <si>
    <t>CAC per dealer</t>
  </si>
  <si>
    <t>CAC payback period (months)</t>
  </si>
  <si>
    <t>CUSTOMER LIFETIME VALUE (CLV)</t>
  </si>
  <si>
    <t>Average dealer lifetime (years)</t>
  </si>
  <si>
    <t>Average monthly fee</t>
  </si>
  <si>
    <t>Gross margin %</t>
  </si>
  <si>
    <t>Monthly contribution margin</t>
  </si>
  <si>
    <t>Lifetime months</t>
  </si>
  <si>
    <t>CLV (undiscounted)</t>
  </si>
  <si>
    <t>Discount rate (10% annual)</t>
  </si>
  <si>
    <t>CLV (discounted at 10%)</t>
  </si>
  <si>
    <t>UNIT ECONOMICS RATIOS</t>
  </si>
  <si>
    <t>CLV/CAC (value creation)</t>
  </si>
  <si>
    <t>CAC payback (months)</t>
  </si>
  <si>
    <t>Target CLV/CAC threshold</t>
  </si>
  <si>
    <t>Status</t>
  </si>
  <si>
    <t>ANNUAL P&amp;L</t>
  </si>
  <si>
    <t>Annual Revenue (ARR)</t>
  </si>
  <si>
    <t>COGS - Cloud infrastructure (AWS)</t>
  </si>
  <si>
    <t>COGS % of revenue</t>
  </si>
  <si>
    <t>Gross Profit</t>
  </si>
  <si>
    <t>Gross Margin %</t>
  </si>
  <si>
    <t>OPERATING EXPENSES</t>
  </si>
  <si>
    <t>Team salaries</t>
  </si>
  <si>
    <t>Sales &amp; marketing</t>
  </si>
  <si>
    <t>G&amp;A (legal, HR, finance)</t>
  </si>
  <si>
    <t>Total OpEx</t>
  </si>
  <si>
    <t>EBITDA</t>
  </si>
  <si>
    <t>EBITDA Margin %</t>
  </si>
  <si>
    <t>Year 1</t>
  </si>
  <si>
    <t>15</t>
  </si>
  <si>
    <t>0.1</t>
  </si>
  <si>
    <t>60000</t>
  </si>
  <si>
    <t>6</t>
  </si>
  <si>
    <t>0.75</t>
  </si>
  <si>
    <t>5</t>
  </si>
  <si>
    <t>44000</t>
  </si>
  <si>
    <t>240000</t>
  </si>
  <si>
    <t>50000</t>
  </si>
  <si>
    <t>Year 2</t>
  </si>
  <si>
    <t>50</t>
  </si>
  <si>
    <t>35</t>
  </si>
  <si>
    <t>0.08</t>
  </si>
  <si>
    <t>450</t>
  </si>
  <si>
    <t>85000</t>
  </si>
  <si>
    <t>7</t>
  </si>
  <si>
    <t>0.78</t>
  </si>
  <si>
    <t>8</t>
  </si>
  <si>
    <t>120000</t>
  </si>
  <si>
    <t>480000</t>
  </si>
  <si>
    <t>80000</t>
  </si>
  <si>
    <t>Year 3</t>
  </si>
  <si>
    <t>150</t>
  </si>
  <si>
    <t>100</t>
  </si>
  <si>
    <t>0.06</t>
  </si>
  <si>
    <t>150000</t>
  </si>
  <si>
    <t>0.8</t>
  </si>
  <si>
    <t>10</t>
  </si>
  <si>
    <t>350000</t>
  </si>
  <si>
    <t>900000</t>
  </si>
  <si>
    <t>Year 4</t>
  </si>
  <si>
    <t>550</t>
  </si>
  <si>
    <t>225000</t>
  </si>
  <si>
    <t>9</t>
  </si>
  <si>
    <t>0.82</t>
  </si>
  <si>
    <t>700000</t>
  </si>
  <si>
    <t>1350000</t>
  </si>
  <si>
    <t>250000</t>
  </si>
  <si>
    <t>Year 5</t>
  </si>
  <si>
    <t>200</t>
  </si>
  <si>
    <t>0.05</t>
  </si>
  <si>
    <t>0.85</t>
  </si>
  <si>
    <t>20</t>
  </si>
  <si>
    <t>1200000</t>
  </si>
  <si>
    <t>1800000</t>
  </si>
  <si>
    <t>400000</t>
  </si>
  <si>
    <t>UNIT ECONOMICS - Customer Acquisition &amp; Lifetime Value</t>
  </si>
  <si>
    <t>FIXED COSTS (Monthly)</t>
  </si>
  <si>
    <t>Team Salaries</t>
  </si>
  <si>
    <t>Infrastructure &amp; AWS</t>
  </si>
  <si>
    <t>Legal &amp; Compliance</t>
  </si>
  <si>
    <t>Office &amp; Admin</t>
  </si>
  <si>
    <t>Total Fixed Costs</t>
  </si>
  <si>
    <t>VARIABLE COSTS (Per Dealer, Monthly)</t>
  </si>
  <si>
    <t>Customer support</t>
  </si>
  <si>
    <t>Platform operations</t>
  </si>
  <si>
    <t>Payment processing</t>
  </si>
  <si>
    <t>Total variable cost per dealer</t>
  </si>
  <si>
    <t>REVENUE (Per Dealer, Monthly)</t>
  </si>
  <si>
    <t>Monthly fee (blended ARPU)</t>
  </si>
  <si>
    <t>Contribution margin per dealer</t>
  </si>
  <si>
    <t>BREAK-EVEN CALCULATION</t>
  </si>
  <si>
    <t>Fixed costs per month</t>
  </si>
  <si>
    <t>Dealers needed to break-even</t>
  </si>
  <si>
    <t>BREAK-EVEN TIMELINE (Base Case)</t>
  </si>
  <si>
    <t>Break-even dealer count</t>
  </si>
  <si>
    <t>Growth rate (dealers/month)</t>
  </si>
  <si>
    <t>Months to break-even</t>
  </si>
  <si>
    <t>Calendar break-even month</t>
  </si>
  <si>
    <t>CONSERVATIVE CASE</t>
  </si>
  <si>
    <t>Lower ARPU</t>
  </si>
  <si>
    <t>Gross margin (conservative)</t>
  </si>
  <si>
    <t>Dealers to break-even</t>
  </si>
  <si>
    <t>Months to break-even (conservative)</t>
  </si>
  <si>
    <t>OPTIMISTIC CASE</t>
  </si>
  <si>
    <t>Higher ARPU</t>
  </si>
  <si>
    <t>Gross margin (optimistic)</t>
  </si>
  <si>
    <t>Months to break-even (optimistic)</t>
  </si>
  <si>
    <t>Amount</t>
  </si>
  <si>
    <t>20000</t>
  </si>
  <si>
    <t>30</t>
  </si>
  <si>
    <t>0.7</t>
  </si>
  <si>
    <t>Calculation</t>
  </si>
  <si>
    <t>Post-seed run-rate</t>
  </si>
  <si>
    <t>Scaling with growth</t>
  </si>
  <si>
    <t>Monthly ongoing</t>
  </si>
  <si>
    <t>Lean operations</t>
  </si>
  <si>
    <t>Per dealer</t>
  </si>
  <si>
    <t>Lite/Standard/Premium mix</t>
  </si>
  <si>
    <t>Standard SaaS margins</t>
  </si>
  <si>
    <t>If price sensitivity</t>
  </si>
  <si>
    <t>Higher support costs</t>
  </si>
  <si>
    <t>If strong value capture</t>
  </si>
  <si>
    <t>Operations efficiency</t>
  </si>
  <si>
    <t>6-7 FTE average</t>
  </si>
  <si>
    <t>Database, compute, storage</t>
  </si>
  <si>
    <t>Ops, insurance, audit prep</t>
  </si>
  <si>
    <t>Workspace, software licenses</t>
  </si>
  <si>
    <t>Onboarding, issue resolution</t>
  </si>
  <si>
    <t>Data processing, storage</t>
  </si>
  <si>
    <t>Credit card fees, invoice processing</t>
  </si>
  <si>
    <t>Revenue minus variable costs</t>
  </si>
  <si>
    <t>Round up: 100 dealers</t>
  </si>
  <si>
    <t>Calculated above</t>
  </si>
  <si>
    <t>Post-Series A growth</t>
  </si>
  <si>
    <t>From Series A close (Month 9)</t>
  </si>
  <si>
    <t>Series A close + X months</t>
  </si>
  <si>
    <t>Lower margin scenario</t>
  </si>
  <si>
    <t>Longer timeline</t>
  </si>
  <si>
    <t>Higher margin scenario</t>
  </si>
  <si>
    <t>Faster profitability</t>
  </si>
  <si>
    <t>BREAK-EVEN ANALYSIS - Monthly</t>
  </si>
  <si>
    <t>Applications received annually</t>
  </si>
  <si>
    <t>Data completeness (baseline)</t>
  </si>
  <si>
    <t>Applications needing rework</t>
  </si>
  <si>
    <t>Rework cost per application</t>
  </si>
  <si>
    <t>Total rework cost (annual)</t>
  </si>
  <si>
    <t>Underwriting turnaround time (hours)</t>
  </si>
  <si>
    <t>Approval rate (baseline)</t>
  </si>
  <si>
    <t>Data completeness (platform)</t>
  </si>
  <si>
    <t>Total rework cost (platform)</t>
  </si>
  <si>
    <t>Approval rate (platform)</t>
  </si>
  <si>
    <t>COST SAVINGS CALCULATION</t>
  </si>
  <si>
    <t>Rework cost savings</t>
  </si>
  <si>
    <t>Underwriting hours saved</t>
  </si>
  <si>
    <t>FTE reduction (at 2000 hrs/year)</t>
  </si>
  <si>
    <t>Salary cost savings (est $150K per FTE)</t>
  </si>
  <si>
    <t>Approval rate improvement value</t>
  </si>
  <si>
    <t>PLATFORM COST TO LENDER</t>
  </si>
  <si>
    <t>Annual platform fee (%)</t>
  </si>
  <si>
    <t>Estimated annual volume (lender)</t>
  </si>
  <si>
    <t>Annual platform cost</t>
  </si>
  <si>
    <t>LENDER NET BENEFIT</t>
  </si>
  <si>
    <t>Total annual savings (hard + soft)</t>
  </si>
  <si>
    <t>Platform cost</t>
  </si>
  <si>
    <t>Net annual benefit to lender</t>
  </si>
  <si>
    <t>ROI %</t>
  </si>
  <si>
    <t>NOTE: Lender benefit is volume-based</t>
  </si>
  <si>
    <t>Early pilots (Months 1-6)</t>
  </si>
  <si>
    <t>Post-seed (Months 7+)</t>
  </si>
  <si>
    <t>Break-even volume for lender</t>
  </si>
  <si>
    <t>Break-even applications</t>
  </si>
  <si>
    <t>0.65</t>
  </si>
  <si>
    <t>250</t>
  </si>
  <si>
    <t>36</t>
  </si>
  <si>
    <t>0.95</t>
  </si>
  <si>
    <t>0.0175</t>
  </si>
  <si>
    <t>500000000</t>
  </si>
  <si>
    <t>Free</t>
  </si>
  <si>
    <t>65%</t>
  </si>
  <si>
    <t>70%</t>
  </si>
  <si>
    <t>95%</t>
  </si>
  <si>
    <t>Same cost if needed</t>
  </si>
  <si>
    <t>85%</t>
  </si>
  <si>
    <t>1.75%</t>
  </si>
  <si>
    <t>$500M volume</t>
  </si>
  <si>
    <t>Cost absorption by fintech</t>
  </si>
  <si>
    <t>Market rate revenue share</t>
  </si>
  <si>
    <t>From 15 dealers</t>
  </si>
  <si>
    <t>Range 60-70%</t>
  </si>
  <si>
    <t>Incomplete applications</t>
  </si>
  <si>
    <t>Staff follow-up time</t>
  </si>
  <si>
    <t>Cost of data quality issues</t>
  </si>
  <si>
    <t>Average of 24-48 hour range</t>
  </si>
  <si>
    <t>Before platform</t>
  </si>
  <si>
    <t>Platform handles same volume</t>
  </si>
  <si>
    <t>Standardized schema</t>
  </si>
  <si>
    <t>Minimal rework needed</t>
  </si>
  <si>
    <t>Follow-up if required</t>
  </si>
  <si>
    <t>Dramatically lower rework</t>
  </si>
  <si>
    <t>Average of 4-6 hour range</t>
  </si>
  <si>
    <t>15% improvement</t>
  </si>
  <si>
    <t>Reduction in follow-up cost</t>
  </si>
  <si>
    <t>Hours saved per 1,200 apps</t>
  </si>
  <si>
    <t>Full-time equivalent reduction</t>
  </si>
  <si>
    <t>Annual FTE cost savings</t>
  </si>
  <si>
    <t>Volume uplift @ $50K per additional app</t>
  </si>
  <si>
    <t>Market standard: 1.5-2%</t>
  </si>
  <si>
    <t>30% of $1.6B total</t>
  </si>
  <si>
    <t>1.75% of volume</t>
  </si>
  <si>
    <t>Rework + FTE + approval uplift</t>
  </si>
  <si>
    <t>Annual cost to lender</t>
  </si>
  <si>
    <t>Lender ROI from platform</t>
  </si>
  <si>
    <t>Return on platform investment</t>
  </si>
  <si>
    <t>Volume needed for neutral ROI</t>
  </si>
  <si>
    <t>Typical $100K average deal size</t>
  </si>
  <si>
    <t>LENDER UNDERWRITING EFFICIENCY - Cost Reduction Analysis</t>
  </si>
  <si>
    <t>KEY ASSUMPTIONS - CHANGE THESE TO TEST SCENARIOS</t>
  </si>
  <si>
    <t>DEALER METRICS</t>
  </si>
  <si>
    <t>Target dealers by Month 6</t>
  </si>
  <si>
    <t>Monthly dealer addition rate (post-seed)</t>
  </si>
  <si>
    <t>PRICING ASSUMPTIONS</t>
  </si>
  <si>
    <t>Lite Plan Monthly ($)</t>
  </si>
  <si>
    <t>Standard Plan Monthly ($)</t>
  </si>
  <si>
    <t>Premium Plan Monthly ($)</t>
  </si>
  <si>
    <t>% dealers on Lite</t>
  </si>
  <si>
    <t>% dealers on Standard</t>
  </si>
  <si>
    <t>% dealers on Premium</t>
  </si>
  <si>
    <t>COST ASSUMPTIONS</t>
  </si>
  <si>
    <t>Monthly salary burn</t>
  </si>
  <si>
    <t>AWS monthly cost</t>
  </si>
  <si>
    <t>Cost per dealer (support)</t>
  </si>
  <si>
    <t>CALCULATED OUTPUTS</t>
  </si>
  <si>
    <t>Blended ARPU (monthly)</t>
  </si>
  <si>
    <t>Annual ARPU per dealer</t>
  </si>
  <si>
    <t>To reach 100 dealers (break-even):</t>
  </si>
  <si>
    <t>Monthly fixed costs</t>
  </si>
  <si>
    <t>Contribution per dealer</t>
  </si>
  <si>
    <t>Dealers needed</t>
  </si>
  <si>
    <t>SCENARIO: If ARPU drops 20%</t>
  </si>
  <si>
    <t>New blended ARPU</t>
  </si>
  <si>
    <t>New contribution per dealer</t>
  </si>
  <si>
    <t>New dealers to break-even</t>
  </si>
  <si>
    <t>Impact on timeline</t>
  </si>
  <si>
    <t>SCENARIO: If dealer growth is 5/month instead of 10</t>
  </si>
  <si>
    <t>Months to 100 dealers</t>
  </si>
  <si>
    <t>Break-even calendar month</t>
  </si>
  <si>
    <t>SCENARIO: CAC increases $500/dealer</t>
  </si>
  <si>
    <t>New dealer acquisition cost</t>
  </si>
  <si>
    <t>Annual CAC spend (20 dealers/yr)</t>
  </si>
  <si>
    <t>Impact on burn rate</t>
  </si>
  <si>
    <t>Current Value</t>
  </si>
  <si>
    <t>0.3</t>
  </si>
  <si>
    <t>0.5</t>
  </si>
  <si>
    <t>2000+500</t>
  </si>
  <si>
    <t>Description</t>
  </si>
  <si>
    <t>Pilot phase target</t>
  </si>
  <si>
    <t>Month 7+ growth</t>
  </si>
  <si>
    <t>Change to test pricing</t>
  </si>
  <si>
    <t>0.30 = 30%</t>
  </si>
  <si>
    <t>0.50 = 50%</t>
  </si>
  <si>
    <t>0.20 = 20%</t>
  </si>
  <si>
    <t>Fixed team costs</t>
  </si>
  <si>
    <t>Infrastructure costs</t>
  </si>
  <si>
    <t>Variable cost per dealer</t>
  </si>
  <si>
    <t>Result</t>
  </si>
  <si>
    <t>ARPU at 75% margin, minus variable cost</t>
  </si>
  <si>
    <t>Additional dealers needed</t>
  </si>
  <si>
    <t>At 5 dealers/month</t>
  </si>
  <si>
    <t>Series A Month 9 + breakeven</t>
  </si>
  <si>
    <t>vs baseline</t>
  </si>
  <si>
    <t>SCENARIO TESTING - Change values below to test impact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</si>
</sst>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cols>
    <col min="1" max="1" width="45.7109375" customWidth="1"/>
    <col min="2" max="7" width="41.7109375" customWidth="1"/>
  </cols>
  <sheetData>
    <row r="1" spans="1:7">
      <c r="A1" t="s">
        <v>70</v>
      </c>
    </row>
    <row r="2" spans="1:7">
      <c r="A2" t="s">
        <v>0</v>
      </c>
    </row>
    <row r="4" spans="1:7">
      <c r="A4" t="s">
        <v>1</v>
      </c>
      <c r="B4" t="s">
        <v>40</v>
      </c>
      <c r="C4" t="s">
        <v>50</v>
      </c>
      <c r="D4" t="s">
        <v>58</v>
      </c>
      <c r="E4" t="s">
        <v>66</v>
      </c>
      <c r="F4" t="s">
        <v>68</v>
      </c>
      <c r="G4" t="s">
        <v>69</v>
      </c>
    </row>
    <row r="5" spans="1:7">
      <c r="A5" t="s">
        <v>2</v>
      </c>
      <c r="B5">
        <f>SUM(B5:B9)</f>
        <v>0</v>
      </c>
      <c r="C5">
        <f>SUM(C5:C9)</f>
        <v>0</v>
      </c>
      <c r="D5">
        <f>SUM(D5:D9)</f>
        <v>0</v>
      </c>
      <c r="E5">
        <f>SUM(E5:E9)</f>
        <v>0</v>
      </c>
      <c r="F5">
        <f>SUM(F5:F9)</f>
        <v>0</v>
      </c>
      <c r="G5">
        <f>SUM(G5:G9)</f>
        <v>0</v>
      </c>
    </row>
    <row r="6" spans="1:7">
      <c r="A6" t="s">
        <v>3</v>
      </c>
      <c r="B6" t="s">
        <v>41</v>
      </c>
      <c r="C6" t="s">
        <v>51</v>
      </c>
      <c r="D6" t="s">
        <v>59</v>
      </c>
      <c r="E6" t="s">
        <v>67</v>
      </c>
      <c r="F6" t="s">
        <v>67</v>
      </c>
      <c r="G6" t="s">
        <v>51</v>
      </c>
    </row>
    <row r="7" spans="1:7">
      <c r="A7" t="s">
        <v>4</v>
      </c>
      <c r="B7" t="s">
        <v>42</v>
      </c>
      <c r="C7" t="s">
        <v>52</v>
      </c>
      <c r="D7" t="s">
        <v>60</v>
      </c>
      <c r="E7" t="s">
        <v>65</v>
      </c>
      <c r="F7" t="s">
        <v>65</v>
      </c>
      <c r="G7" t="s">
        <v>52</v>
      </c>
    </row>
    <row r="8" spans="1:7">
      <c r="A8" t="s">
        <v>5</v>
      </c>
      <c r="B8" t="s">
        <v>43</v>
      </c>
      <c r="C8" t="s">
        <v>49</v>
      </c>
      <c r="D8" t="s">
        <v>49</v>
      </c>
      <c r="E8" t="s">
        <v>56</v>
      </c>
      <c r="F8" t="s">
        <v>56</v>
      </c>
      <c r="G8" t="s">
        <v>49</v>
      </c>
    </row>
    <row r="9" spans="1:7">
      <c r="A9" t="s">
        <v>6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</row>
    <row r="10" spans="1:7">
      <c r="A10" t="s">
        <v>7</v>
      </c>
      <c r="B10" t="s">
        <v>45</v>
      </c>
      <c r="C10" t="s">
        <v>45</v>
      </c>
      <c r="D10" t="s">
        <v>45</v>
      </c>
      <c r="E10" t="s">
        <v>45</v>
      </c>
      <c r="F10" t="s">
        <v>45</v>
      </c>
      <c r="G10" t="s">
        <v>43</v>
      </c>
    </row>
    <row r="12" spans="1:7">
      <c r="A12" t="s">
        <v>8</v>
      </c>
      <c r="B12">
        <f>SUM(B12:B17)</f>
        <v>0</v>
      </c>
      <c r="C12">
        <f>SUM(C12:C17)</f>
        <v>0</v>
      </c>
      <c r="D12">
        <f>SUM(D12:D17)</f>
        <v>0</v>
      </c>
      <c r="E12">
        <f>SUM(E12:E17)</f>
        <v>0</v>
      </c>
      <c r="F12">
        <f>SUM(F12:F17)</f>
        <v>0</v>
      </c>
      <c r="G12">
        <f>SUM(G12:G17)</f>
        <v>0</v>
      </c>
    </row>
    <row r="13" spans="1:7">
      <c r="A13" t="s">
        <v>9</v>
      </c>
      <c r="B13" t="s">
        <v>43</v>
      </c>
      <c r="C13" t="s">
        <v>49</v>
      </c>
      <c r="D13" t="s">
        <v>61</v>
      </c>
      <c r="E13" t="s">
        <v>61</v>
      </c>
      <c r="F13" t="s">
        <v>61</v>
      </c>
      <c r="G13" t="s">
        <v>61</v>
      </c>
    </row>
    <row r="14" spans="1:7">
      <c r="A14" t="s">
        <v>10</v>
      </c>
      <c r="B14" t="s">
        <v>46</v>
      </c>
      <c r="C14" t="s">
        <v>43</v>
      </c>
      <c r="D14" t="s">
        <v>62</v>
      </c>
      <c r="E14" t="s">
        <v>62</v>
      </c>
      <c r="F14" t="s">
        <v>62</v>
      </c>
      <c r="G14" t="s">
        <v>62</v>
      </c>
    </row>
    <row r="15" spans="1:7">
      <c r="A15" t="s">
        <v>11</v>
      </c>
      <c r="B15" t="s">
        <v>47</v>
      </c>
      <c r="C15" t="s">
        <v>53</v>
      </c>
      <c r="D15" t="s">
        <v>44</v>
      </c>
      <c r="E15" t="s">
        <v>44</v>
      </c>
      <c r="F15" t="s">
        <v>44</v>
      </c>
      <c r="G15" t="s">
        <v>44</v>
      </c>
    </row>
    <row r="16" spans="1:7">
      <c r="A16" t="s">
        <v>12</v>
      </c>
      <c r="B16" t="s">
        <v>48</v>
      </c>
      <c r="C16" t="s">
        <v>46</v>
      </c>
      <c r="D16" t="s">
        <v>63</v>
      </c>
      <c r="E16" t="s">
        <v>63</v>
      </c>
      <c r="F16" t="s">
        <v>63</v>
      </c>
      <c r="G16" t="s">
        <v>63</v>
      </c>
    </row>
    <row r="17" spans="1:7">
      <c r="A17" t="s">
        <v>13</v>
      </c>
      <c r="B17" t="s">
        <v>46</v>
      </c>
      <c r="C17" t="s">
        <v>43</v>
      </c>
      <c r="D17" t="s">
        <v>64</v>
      </c>
      <c r="E17" t="s">
        <v>64</v>
      </c>
      <c r="F17" t="s">
        <v>64</v>
      </c>
      <c r="G17" t="s">
        <v>64</v>
      </c>
    </row>
    <row r="18" spans="1:7">
      <c r="A18" t="s">
        <v>14</v>
      </c>
      <c r="B18" t="s">
        <v>44</v>
      </c>
      <c r="C18" t="s">
        <v>54</v>
      </c>
      <c r="D18" t="s">
        <v>48</v>
      </c>
      <c r="E18" t="s">
        <v>48</v>
      </c>
      <c r="F18" t="s">
        <v>48</v>
      </c>
      <c r="G18" t="s">
        <v>48</v>
      </c>
    </row>
    <row r="20" spans="1:7">
      <c r="A20" t="s">
        <v>15</v>
      </c>
      <c r="B20">
        <f>SUM(B20:B23)</f>
        <v>0</v>
      </c>
      <c r="C20">
        <f>SUM(C20:C23)</f>
        <v>0</v>
      </c>
      <c r="D20">
        <f>SUM(D20:D23)</f>
        <v>0</v>
      </c>
      <c r="E20">
        <f>SUM(E20:E23)</f>
        <v>0</v>
      </c>
      <c r="F20">
        <f>SUM(F20:F23)</f>
        <v>0</v>
      </c>
      <c r="G20">
        <f>SUM(G20:G23)</f>
        <v>0</v>
      </c>
    </row>
    <row r="21" spans="1:7">
      <c r="A21" t="s">
        <v>16</v>
      </c>
      <c r="B21" t="s">
        <v>43</v>
      </c>
      <c r="C21" t="s">
        <v>55</v>
      </c>
      <c r="D21" t="s">
        <v>65</v>
      </c>
      <c r="E21" t="s">
        <v>46</v>
      </c>
      <c r="F21" t="s">
        <v>45</v>
      </c>
      <c r="G21" t="s">
        <v>45</v>
      </c>
    </row>
    <row r="22" spans="1:7">
      <c r="A22" t="s">
        <v>17</v>
      </c>
      <c r="B22" t="s">
        <v>45</v>
      </c>
      <c r="C22" t="s">
        <v>49</v>
      </c>
      <c r="D22" t="s">
        <v>55</v>
      </c>
      <c r="E22" t="s">
        <v>55</v>
      </c>
      <c r="F22" t="s">
        <v>45</v>
      </c>
      <c r="G22" t="s">
        <v>45</v>
      </c>
    </row>
    <row r="23" spans="1:7">
      <c r="A23" t="s">
        <v>18</v>
      </c>
      <c r="B23" t="s">
        <v>46</v>
      </c>
      <c r="C23" t="s">
        <v>43</v>
      </c>
      <c r="D23" t="s">
        <v>43</v>
      </c>
      <c r="E23" t="s">
        <v>49</v>
      </c>
      <c r="F23" t="s">
        <v>45</v>
      </c>
      <c r="G23" t="s">
        <v>45</v>
      </c>
    </row>
    <row r="24" spans="1:7">
      <c r="A24" t="s">
        <v>19</v>
      </c>
      <c r="B24" t="s">
        <v>44</v>
      </c>
      <c r="C24" t="s">
        <v>44</v>
      </c>
      <c r="D24" t="s">
        <v>44</v>
      </c>
      <c r="E24" t="s">
        <v>46</v>
      </c>
      <c r="F24" t="s">
        <v>45</v>
      </c>
      <c r="G24" t="s">
        <v>45</v>
      </c>
    </row>
    <row r="26" spans="1:7">
      <c r="A26" t="s">
        <v>20</v>
      </c>
      <c r="B26">
        <f>SUM(B26:B29)</f>
        <v>0</v>
      </c>
      <c r="C26">
        <f>SUM(C26:C29)</f>
        <v>0</v>
      </c>
      <c r="D26">
        <f>SUM(D26:D29)</f>
        <v>0</v>
      </c>
      <c r="E26">
        <f>SUM(E26:E29)</f>
        <v>0</v>
      </c>
      <c r="F26">
        <f>SUM(F26:F29)</f>
        <v>0</v>
      </c>
      <c r="G26">
        <f>SUM(G26:G29)</f>
        <v>0</v>
      </c>
    </row>
    <row r="27" spans="1:7">
      <c r="A27" t="s">
        <v>21</v>
      </c>
      <c r="B27" t="s">
        <v>43</v>
      </c>
      <c r="C27" t="s">
        <v>56</v>
      </c>
      <c r="D27" t="s">
        <v>49</v>
      </c>
      <c r="E27" t="s">
        <v>49</v>
      </c>
      <c r="F27" t="s">
        <v>49</v>
      </c>
      <c r="G27" t="s">
        <v>49</v>
      </c>
    </row>
    <row r="28" spans="1:7">
      <c r="A28" t="s">
        <v>22</v>
      </c>
      <c r="B28" t="s">
        <v>44</v>
      </c>
      <c r="C28" t="s">
        <v>44</v>
      </c>
      <c r="D28" t="s">
        <v>46</v>
      </c>
      <c r="E28" t="s">
        <v>43</v>
      </c>
      <c r="F28" t="s">
        <v>43</v>
      </c>
      <c r="G28" t="s">
        <v>42</v>
      </c>
    </row>
    <row r="29" spans="1:7">
      <c r="A29" t="s">
        <v>23</v>
      </c>
      <c r="B29" t="s">
        <v>45</v>
      </c>
      <c r="C29" t="s">
        <v>45</v>
      </c>
      <c r="D29" t="s">
        <v>46</v>
      </c>
      <c r="E29" t="s">
        <v>46</v>
      </c>
      <c r="F29" t="s">
        <v>46</v>
      </c>
      <c r="G29" t="s">
        <v>49</v>
      </c>
    </row>
    <row r="30" spans="1:7">
      <c r="A30" t="s">
        <v>24</v>
      </c>
      <c r="B30" t="s">
        <v>45</v>
      </c>
      <c r="C30" t="s">
        <v>45</v>
      </c>
      <c r="D30" t="s">
        <v>45</v>
      </c>
      <c r="E30" t="s">
        <v>44</v>
      </c>
      <c r="F30" t="s">
        <v>44</v>
      </c>
      <c r="G30" t="s">
        <v>46</v>
      </c>
    </row>
    <row r="32" spans="1:7">
      <c r="A32" t="s">
        <v>25</v>
      </c>
      <c r="B32">
        <f>SUM(B32:B34)</f>
        <v>0</v>
      </c>
      <c r="C32">
        <f>SUM(C32:C34)</f>
        <v>0</v>
      </c>
      <c r="D32">
        <f>SUM(D32:D34)</f>
        <v>0</v>
      </c>
      <c r="E32">
        <f>SUM(E32:E34)</f>
        <v>0</v>
      </c>
      <c r="F32">
        <f>SUM(F32:F34)</f>
        <v>0</v>
      </c>
      <c r="G32">
        <f>SUM(G32:G34)</f>
        <v>0</v>
      </c>
    </row>
    <row r="33" spans="1:7">
      <c r="A33" t="s">
        <v>26</v>
      </c>
      <c r="B33" t="s">
        <v>49</v>
      </c>
      <c r="C33" t="s">
        <v>57</v>
      </c>
      <c r="D33" t="s">
        <v>49</v>
      </c>
      <c r="E33" t="s">
        <v>49</v>
      </c>
      <c r="F33" t="s">
        <v>42</v>
      </c>
      <c r="G33" t="s">
        <v>65</v>
      </c>
    </row>
    <row r="34" spans="1:7">
      <c r="A34" t="s">
        <v>27</v>
      </c>
      <c r="B34" t="s">
        <v>44</v>
      </c>
      <c r="C34" t="s">
        <v>46</v>
      </c>
      <c r="D34" t="s">
        <v>44</v>
      </c>
      <c r="E34" t="s">
        <v>44</v>
      </c>
      <c r="F34" t="s">
        <v>46</v>
      </c>
      <c r="G34" t="s">
        <v>49</v>
      </c>
    </row>
    <row r="35" spans="1:7">
      <c r="A35" t="s">
        <v>28</v>
      </c>
      <c r="B35" t="s">
        <v>44</v>
      </c>
      <c r="C35" t="s">
        <v>44</v>
      </c>
      <c r="D35" t="s">
        <v>44</v>
      </c>
      <c r="E35" t="s">
        <v>44</v>
      </c>
      <c r="F35" t="s">
        <v>46</v>
      </c>
      <c r="G35" t="s">
        <v>46</v>
      </c>
    </row>
    <row r="37" spans="1:7">
      <c r="A37" t="s">
        <v>29</v>
      </c>
      <c r="B37">
        <f>SUM(B37:B42)</f>
        <v>0</v>
      </c>
      <c r="C37">
        <f>SUM(C37:C42)</f>
        <v>0</v>
      </c>
      <c r="D37">
        <f>SUM(D37:D42)</f>
        <v>0</v>
      </c>
      <c r="E37">
        <f>SUM(E37:E42)</f>
        <v>0</v>
      </c>
      <c r="F37">
        <f>SUM(F37:F42)</f>
        <v>0</v>
      </c>
      <c r="G37">
        <f>SUM(G37:G42)</f>
        <v>0</v>
      </c>
    </row>
    <row r="38" spans="1:7">
      <c r="A38" t="s">
        <v>30</v>
      </c>
      <c r="B38" t="s">
        <v>46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</row>
    <row r="39" spans="1:7">
      <c r="A39" t="s">
        <v>31</v>
      </c>
      <c r="B39" t="s">
        <v>45</v>
      </c>
      <c r="C39" t="s">
        <v>46</v>
      </c>
      <c r="D39" t="s">
        <v>46</v>
      </c>
      <c r="E39" t="s">
        <v>45</v>
      </c>
      <c r="F39" t="s">
        <v>45</v>
      </c>
      <c r="G39" t="s">
        <v>45</v>
      </c>
    </row>
    <row r="40" spans="1:7">
      <c r="A40" t="s">
        <v>32</v>
      </c>
      <c r="B40" t="s">
        <v>45</v>
      </c>
      <c r="C40" t="s">
        <v>44</v>
      </c>
      <c r="D40" t="s">
        <v>44</v>
      </c>
      <c r="E40" t="s">
        <v>45</v>
      </c>
      <c r="F40" t="s">
        <v>45</v>
      </c>
      <c r="G40" t="s">
        <v>45</v>
      </c>
    </row>
    <row r="41" spans="1:7">
      <c r="A41" t="s">
        <v>33</v>
      </c>
      <c r="B41" t="s">
        <v>45</v>
      </c>
      <c r="C41" t="s">
        <v>44</v>
      </c>
      <c r="D41" t="s">
        <v>45</v>
      </c>
      <c r="E41" t="s">
        <v>44</v>
      </c>
      <c r="F41" t="s">
        <v>45</v>
      </c>
      <c r="G41" t="s">
        <v>45</v>
      </c>
    </row>
    <row r="42" spans="1:7">
      <c r="A42" t="s">
        <v>34</v>
      </c>
      <c r="B42" t="s">
        <v>45</v>
      </c>
      <c r="C42" t="s">
        <v>45</v>
      </c>
      <c r="D42" t="s">
        <v>45</v>
      </c>
      <c r="E42" t="s">
        <v>45</v>
      </c>
      <c r="F42" t="s">
        <v>42</v>
      </c>
      <c r="G42" t="s">
        <v>42</v>
      </c>
    </row>
    <row r="43" spans="1:7">
      <c r="A43" t="s">
        <v>35</v>
      </c>
      <c r="B43" t="s">
        <v>45</v>
      </c>
      <c r="C43" t="s">
        <v>45</v>
      </c>
      <c r="D43" t="s">
        <v>45</v>
      </c>
      <c r="E43" t="s">
        <v>45</v>
      </c>
      <c r="F43" t="s">
        <v>49</v>
      </c>
      <c r="G43" t="s">
        <v>65</v>
      </c>
    </row>
    <row r="45" spans="1:7">
      <c r="A45" t="s">
        <v>36</v>
      </c>
      <c r="B45">
        <f>ROUND((B4+B11+B19+B25+B31+B36)*0.09,0)</f>
        <v>0</v>
      </c>
      <c r="C45">
        <f>ROUND((C4+C11+C19+C25+C31+C36)*0.09,0)</f>
        <v>0</v>
      </c>
      <c r="D45">
        <f>ROUND((D4+D11+D19+D25+D31+D36)*0.09,0)</f>
        <v>0</v>
      </c>
      <c r="E45">
        <f>ROUND((E4+E11+E19+E25+E31+E36)*0.09,0)</f>
        <v>0</v>
      </c>
      <c r="F45">
        <f>ROUND((F4+F11+F19+F25+F31+F36)*0.09,0)</f>
        <v>0</v>
      </c>
      <c r="G45">
        <f>ROUND((G4+G11+G19+G25+G31+G36)*0.09,0)</f>
        <v>0</v>
      </c>
    </row>
    <row r="47" spans="1:7">
      <c r="A47" t="s">
        <v>37</v>
      </c>
      <c r="B47">
        <f>B4+B11+B19+B25+B31+B36+B44</f>
        <v>0</v>
      </c>
      <c r="C47">
        <f>C4+C11+C19+C25+C31+C36+C44</f>
        <v>0</v>
      </c>
      <c r="D47">
        <f>D4+D11+D19+D25+D31+D36+D44</f>
        <v>0</v>
      </c>
      <c r="E47">
        <f>E4+E11+E19+E25+E31+E36+E44</f>
        <v>0</v>
      </c>
      <c r="F47">
        <f>F4+F11+F19+F25+F31+F36+F44</f>
        <v>0</v>
      </c>
      <c r="G47">
        <f>G4+G11+G19+G25+G31+G36+G44</f>
        <v>0</v>
      </c>
    </row>
    <row r="48" spans="1:7">
      <c r="A48" t="s">
        <v>38</v>
      </c>
      <c r="B48">
        <f>B45</f>
        <v>0</v>
      </c>
      <c r="C48">
        <f>B45+C45</f>
        <v>0</v>
      </c>
      <c r="D48">
        <f>B45+C45+D45</f>
        <v>0</v>
      </c>
      <c r="E48">
        <f>B45+C45+D45+E45</f>
        <v>0</v>
      </c>
      <c r="F48">
        <f>B45+C45+D45+E45+F45</f>
        <v>0</v>
      </c>
      <c r="G48">
        <f>B45+C45+D45+E45+F45+G45</f>
        <v>0</v>
      </c>
    </row>
    <row r="50" spans="1:2">
      <c r="A50" t="s">
        <v>39</v>
      </c>
      <c r="B50">
        <f>SUM(B45:G45)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cols>
    <col min="1" max="1" width="49.7109375" customWidth="1"/>
    <col min="2" max="2" width="24.7109375" customWidth="1"/>
    <col min="3" max="3" width="27.7109375" customWidth="1"/>
    <col min="4" max="4" width="46.7109375" customWidth="1"/>
  </cols>
  <sheetData>
    <row r="1" spans="1:4">
      <c r="A1" t="s">
        <v>142</v>
      </c>
    </row>
    <row r="3" spans="1:4">
      <c r="A3" t="s">
        <v>71</v>
      </c>
      <c r="B3" t="s">
        <v>99</v>
      </c>
      <c r="C3" t="s">
        <v>108</v>
      </c>
      <c r="D3" t="s">
        <v>117</v>
      </c>
    </row>
    <row r="5" spans="1:4">
      <c r="A5" t="s">
        <v>72</v>
      </c>
    </row>
    <row r="6" spans="1:4">
      <c r="A6" t="s">
        <v>73</v>
      </c>
      <c r="B6" t="s">
        <v>100</v>
      </c>
      <c r="C6" t="s">
        <v>109</v>
      </c>
      <c r="D6" t="s">
        <v>118</v>
      </c>
    </row>
    <row r="7" spans="1:4">
      <c r="A7" t="s">
        <v>74</v>
      </c>
      <c r="B7" t="s">
        <v>101</v>
      </c>
      <c r="C7" t="s">
        <v>109</v>
      </c>
      <c r="D7" t="s">
        <v>119</v>
      </c>
    </row>
    <row r="8" spans="1:4">
      <c r="A8" t="s">
        <v>75</v>
      </c>
      <c r="B8">
        <f>B6*(B7/60)</f>
        <v>0</v>
      </c>
      <c r="C8">
        <f>B6*(B7/60)</f>
        <v>0</v>
      </c>
      <c r="D8" t="s">
        <v>120</v>
      </c>
    </row>
    <row r="9" spans="1:4">
      <c r="A9" t="s">
        <v>76</v>
      </c>
      <c r="B9" t="s">
        <v>102</v>
      </c>
      <c r="C9" t="s">
        <v>109</v>
      </c>
      <c r="D9" t="s">
        <v>121</v>
      </c>
    </row>
    <row r="10" spans="1:4">
      <c r="A10" t="s">
        <v>77</v>
      </c>
      <c r="B10">
        <f>B8*B9</f>
        <v>0</v>
      </c>
      <c r="C10">
        <f>B8*B9</f>
        <v>0</v>
      </c>
      <c r="D10" t="s">
        <v>122</v>
      </c>
    </row>
    <row r="12" spans="1:4">
      <c r="A12" t="s">
        <v>78</v>
      </c>
    </row>
    <row r="13" spans="1:4">
      <c r="A13" t="s">
        <v>73</v>
      </c>
      <c r="B13">
        <f>B6</f>
        <v>0</v>
      </c>
      <c r="C13" t="s">
        <v>110</v>
      </c>
      <c r="D13" t="s">
        <v>123</v>
      </c>
    </row>
    <row r="14" spans="1:4">
      <c r="A14" t="s">
        <v>79</v>
      </c>
      <c r="B14" t="s">
        <v>103</v>
      </c>
      <c r="C14" t="s">
        <v>109</v>
      </c>
      <c r="D14" t="s">
        <v>124</v>
      </c>
    </row>
    <row r="15" spans="1:4">
      <c r="A15" t="s">
        <v>80</v>
      </c>
      <c r="B15">
        <f>B13*(B14/60)</f>
        <v>0</v>
      </c>
      <c r="C15">
        <f>B13*(B14/60)</f>
        <v>0</v>
      </c>
      <c r="D15" t="s">
        <v>120</v>
      </c>
    </row>
    <row r="16" spans="1:4">
      <c r="A16" t="s">
        <v>76</v>
      </c>
      <c r="B16">
        <f>B9</f>
        <v>0</v>
      </c>
      <c r="C16" t="s">
        <v>111</v>
      </c>
      <c r="D16" t="s">
        <v>125</v>
      </c>
    </row>
    <row r="17" spans="1:4">
      <c r="A17" t="s">
        <v>81</v>
      </c>
      <c r="B17">
        <f>B15*B16</f>
        <v>0</v>
      </c>
      <c r="C17">
        <f>B15*B16</f>
        <v>0</v>
      </c>
      <c r="D17" t="s">
        <v>126</v>
      </c>
    </row>
    <row r="19" spans="1:4">
      <c r="A19" t="s">
        <v>82</v>
      </c>
    </row>
    <row r="20" spans="1:4">
      <c r="A20" t="s">
        <v>83</v>
      </c>
      <c r="B20">
        <f>B8-B15</f>
        <v>0</v>
      </c>
      <c r="C20">
        <f>B8-B15</f>
        <v>0</v>
      </c>
      <c r="D20" t="s">
        <v>127</v>
      </c>
    </row>
    <row r="21" spans="1:4">
      <c r="A21" t="s">
        <v>84</v>
      </c>
      <c r="B21">
        <f>B10-B17</f>
        <v>0</v>
      </c>
      <c r="C21">
        <f>B10-B17</f>
        <v>0</v>
      </c>
      <c r="D21" t="s">
        <v>128</v>
      </c>
    </row>
    <row r="22" spans="1:4">
      <c r="A22" t="s">
        <v>85</v>
      </c>
      <c r="B22" t="s">
        <v>104</v>
      </c>
      <c r="C22" t="s">
        <v>112</v>
      </c>
      <c r="D22" t="s">
        <v>129</v>
      </c>
    </row>
    <row r="23" spans="1:4">
      <c r="A23" t="s">
        <v>86</v>
      </c>
      <c r="B23" t="s">
        <v>105</v>
      </c>
      <c r="C23" t="s">
        <v>113</v>
      </c>
      <c r="D23" t="s">
        <v>130</v>
      </c>
    </row>
    <row r="24" spans="1:4">
      <c r="A24" t="s">
        <v>87</v>
      </c>
      <c r="B24" t="s">
        <v>106</v>
      </c>
      <c r="C24" t="s">
        <v>114</v>
      </c>
      <c r="D24" t="s">
        <v>131</v>
      </c>
    </row>
    <row r="25" spans="1:4">
      <c r="A25" t="s">
        <v>88</v>
      </c>
      <c r="B25" t="s">
        <v>107</v>
      </c>
      <c r="C25" t="s">
        <v>115</v>
      </c>
      <c r="D25" t="s">
        <v>132</v>
      </c>
    </row>
    <row r="26" spans="1:4">
      <c r="A26" t="s">
        <v>89</v>
      </c>
      <c r="B26">
        <f>B24*B25</f>
        <v>0</v>
      </c>
      <c r="C26">
        <f>B24*B25</f>
        <v>0</v>
      </c>
      <c r="D26" t="s">
        <v>133</v>
      </c>
    </row>
    <row r="28" spans="1:4">
      <c r="A28" t="s">
        <v>90</v>
      </c>
      <c r="B28">
        <f>B20+B21+B22+B26</f>
        <v>0</v>
      </c>
      <c r="C28">
        <f>B20+B21+B22+B26</f>
        <v>0</v>
      </c>
      <c r="D28" t="s">
        <v>134</v>
      </c>
    </row>
    <row r="30" spans="1:4">
      <c r="A30" t="s">
        <v>91</v>
      </c>
    </row>
    <row r="31" spans="1:4">
      <c r="A31" t="s">
        <v>92</v>
      </c>
      <c r="B31" t="s">
        <v>47</v>
      </c>
      <c r="C31" t="s">
        <v>116</v>
      </c>
      <c r="D31" t="s">
        <v>135</v>
      </c>
    </row>
    <row r="32" spans="1:4">
      <c r="A32" t="s">
        <v>93</v>
      </c>
      <c r="B32" t="s">
        <v>54</v>
      </c>
      <c r="C32" t="s">
        <v>116</v>
      </c>
      <c r="D32" t="s">
        <v>136</v>
      </c>
    </row>
    <row r="33" spans="1:4">
      <c r="A33" t="s">
        <v>94</v>
      </c>
      <c r="B33" t="s">
        <v>46</v>
      </c>
      <c r="C33" t="s">
        <v>116</v>
      </c>
      <c r="D33" t="s">
        <v>137</v>
      </c>
    </row>
    <row r="34" spans="1:4">
      <c r="A34" t="s">
        <v>95</v>
      </c>
      <c r="B34">
        <f>(B31+B32+B33)/3</f>
        <v>0</v>
      </c>
      <c r="C34">
        <f>(B31+B32+B33)/3</f>
        <v>0</v>
      </c>
      <c r="D34" t="s">
        <v>138</v>
      </c>
    </row>
    <row r="35" spans="1:4">
      <c r="A35" t="s">
        <v>96</v>
      </c>
      <c r="B35">
        <f>B34*12</f>
        <v>0</v>
      </c>
      <c r="C35">
        <f>B34*12</f>
        <v>0</v>
      </c>
      <c r="D35" t="s">
        <v>139</v>
      </c>
    </row>
    <row r="36" spans="1:4">
      <c r="A36" t="s">
        <v>97</v>
      </c>
      <c r="B36">
        <f>ROUND(B28/B35,2)</f>
        <v>0</v>
      </c>
      <c r="C36">
        <f>ROUND(B28/B35,2)</f>
        <v>0</v>
      </c>
      <c r="D36" t="s">
        <v>140</v>
      </c>
    </row>
    <row r="37" spans="1:4">
      <c r="A37" t="s">
        <v>98</v>
      </c>
      <c r="B37">
        <f>ROUND(B35/(B28/12),2)</f>
        <v>0</v>
      </c>
      <c r="C37">
        <f>ROUND(B35/(B28/12),2)</f>
        <v>0</v>
      </c>
      <c r="D37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50.7109375" customWidth="1"/>
    <col min="2" max="6" width="33.7109375" customWidth="1"/>
  </cols>
  <sheetData>
    <row r="1" spans="1:6">
      <c r="A1" t="s">
        <v>234</v>
      </c>
    </row>
    <row r="3" spans="1:6">
      <c r="A3" t="s">
        <v>143</v>
      </c>
      <c r="B3" t="s">
        <v>187</v>
      </c>
      <c r="C3" t="s">
        <v>197</v>
      </c>
      <c r="D3" t="s">
        <v>209</v>
      </c>
      <c r="E3" t="s">
        <v>218</v>
      </c>
      <c r="F3" t="s">
        <v>226</v>
      </c>
    </row>
    <row r="5" spans="1:6">
      <c r="A5" t="s">
        <v>144</v>
      </c>
    </row>
    <row r="6" spans="1:6">
      <c r="A6" t="s">
        <v>145</v>
      </c>
      <c r="B6" t="s">
        <v>188</v>
      </c>
      <c r="C6" t="s">
        <v>198</v>
      </c>
      <c r="D6" t="s">
        <v>210</v>
      </c>
      <c r="E6" t="s">
        <v>47</v>
      </c>
      <c r="F6" t="s">
        <v>44</v>
      </c>
    </row>
    <row r="7" spans="1:6">
      <c r="A7" t="s">
        <v>146</v>
      </c>
      <c r="B7" t="s">
        <v>188</v>
      </c>
      <c r="C7" t="s">
        <v>199</v>
      </c>
      <c r="D7" t="s">
        <v>211</v>
      </c>
      <c r="E7" t="s">
        <v>210</v>
      </c>
      <c r="F7" t="s">
        <v>227</v>
      </c>
    </row>
    <row r="8" spans="1:6">
      <c r="A8" t="s">
        <v>147</v>
      </c>
      <c r="B8" t="s">
        <v>189</v>
      </c>
      <c r="C8" t="s">
        <v>200</v>
      </c>
      <c r="D8" t="s">
        <v>212</v>
      </c>
      <c r="E8" t="s">
        <v>212</v>
      </c>
      <c r="F8" t="s">
        <v>228</v>
      </c>
    </row>
    <row r="9" spans="1:6">
      <c r="A9" t="s">
        <v>148</v>
      </c>
      <c r="B9">
        <f>B7-ROUND(B6*B8,0)</f>
        <v>0</v>
      </c>
      <c r="C9">
        <f>C6+C7-ROUND(C6*C8,0)</f>
        <v>0</v>
      </c>
      <c r="D9">
        <f>D6+D7-ROUND(D6*D8,0)</f>
        <v>0</v>
      </c>
      <c r="E9">
        <f>E6+E7-ROUND(E6*E8,0)</f>
        <v>0</v>
      </c>
      <c r="F9">
        <f>F6+F7-ROUND(F6*F8,0)</f>
        <v>0</v>
      </c>
    </row>
    <row r="11" spans="1:6">
      <c r="A11" t="s">
        <v>149</v>
      </c>
    </row>
    <row r="12" spans="1:6">
      <c r="A12" t="s">
        <v>150</v>
      </c>
      <c r="B12" t="s">
        <v>53</v>
      </c>
      <c r="C12" t="s">
        <v>201</v>
      </c>
      <c r="D12" t="s">
        <v>44</v>
      </c>
      <c r="E12" t="s">
        <v>219</v>
      </c>
      <c r="F12" t="s">
        <v>54</v>
      </c>
    </row>
    <row r="13" spans="1:6">
      <c r="A13" t="s">
        <v>151</v>
      </c>
      <c r="B13" t="s">
        <v>188</v>
      </c>
      <c r="C13" t="s">
        <v>45</v>
      </c>
      <c r="D13" t="s">
        <v>45</v>
      </c>
      <c r="E13" t="s">
        <v>45</v>
      </c>
      <c r="F13" t="s">
        <v>45</v>
      </c>
    </row>
    <row r="14" spans="1:6">
      <c r="A14" t="s">
        <v>152</v>
      </c>
      <c r="B14">
        <f>B6-B12</f>
        <v>0</v>
      </c>
      <c r="C14">
        <f>C6-C12</f>
        <v>0</v>
      </c>
      <c r="D14">
        <f>D6-D12</f>
        <v>0</v>
      </c>
      <c r="E14">
        <f>E6-E12</f>
        <v>0</v>
      </c>
      <c r="F14">
        <f>F6-F12</f>
        <v>0</v>
      </c>
    </row>
    <row r="15" spans="1:6">
      <c r="A15" t="s">
        <v>153</v>
      </c>
      <c r="B15">
        <f>IF(B13=0,0,B13*B11)</f>
        <v>0</v>
      </c>
      <c r="C15">
        <f>IF(C13=0,0,C13*C11)</f>
        <v>0</v>
      </c>
      <c r="D15">
        <f>IF(D13=0,0,D13*D11)</f>
        <v>0</v>
      </c>
      <c r="E15">
        <f>IF(E13=0,0,E13*E11)</f>
        <v>0</v>
      </c>
      <c r="F15">
        <f>IF(F13=0,0,F13*F11)</f>
        <v>0</v>
      </c>
    </row>
    <row r="16" spans="1:6">
      <c r="A16" t="s">
        <v>154</v>
      </c>
      <c r="B16">
        <f>B14*12</f>
        <v>0</v>
      </c>
      <c r="C16">
        <f>C14*12</f>
        <v>0</v>
      </c>
      <c r="D16">
        <f>D14*12</f>
        <v>0</v>
      </c>
      <c r="E16">
        <f>E14*12</f>
        <v>0</v>
      </c>
      <c r="F16">
        <f>F14*12</f>
        <v>0</v>
      </c>
    </row>
    <row r="18" spans="1:6">
      <c r="A18" t="s">
        <v>155</v>
      </c>
    </row>
    <row r="19" spans="1:6">
      <c r="A19" t="s">
        <v>156</v>
      </c>
      <c r="B19" t="s">
        <v>190</v>
      </c>
      <c r="C19" t="s">
        <v>202</v>
      </c>
      <c r="D19" t="s">
        <v>213</v>
      </c>
      <c r="E19" t="s">
        <v>220</v>
      </c>
      <c r="F19" t="s">
        <v>216</v>
      </c>
    </row>
    <row r="20" spans="1:6">
      <c r="A20" t="s">
        <v>157</v>
      </c>
      <c r="B20" t="s">
        <v>188</v>
      </c>
      <c r="C20" t="s">
        <v>199</v>
      </c>
      <c r="D20" t="s">
        <v>211</v>
      </c>
      <c r="E20" t="s">
        <v>210</v>
      </c>
      <c r="F20" t="s">
        <v>227</v>
      </c>
    </row>
    <row r="21" spans="1:6">
      <c r="A21" t="s">
        <v>158</v>
      </c>
      <c r="B21">
        <f>B17/B18</f>
        <v>0</v>
      </c>
      <c r="C21">
        <f>C17/C18</f>
        <v>0</v>
      </c>
      <c r="D21">
        <f>D17/D18</f>
        <v>0</v>
      </c>
      <c r="E21">
        <f>E17/E18</f>
        <v>0</v>
      </c>
      <c r="F21">
        <f>F17/F18</f>
        <v>0</v>
      </c>
    </row>
    <row r="22" spans="1:6">
      <c r="A22" t="s">
        <v>159</v>
      </c>
      <c r="B22">
        <f>B19/(B11/12)</f>
        <v>0</v>
      </c>
      <c r="C22">
        <f>C19/(C11/12)</f>
        <v>0</v>
      </c>
      <c r="D22">
        <f>D19/(D11/12)</f>
        <v>0</v>
      </c>
      <c r="E22">
        <f>E19/(E11/12)</f>
        <v>0</v>
      </c>
      <c r="F22">
        <f>F19/(F11/12)</f>
        <v>0</v>
      </c>
    </row>
    <row r="24" spans="1:6">
      <c r="A24" t="s">
        <v>160</v>
      </c>
    </row>
    <row r="25" spans="1:6">
      <c r="A25" t="s">
        <v>161</v>
      </c>
      <c r="B25" t="s">
        <v>191</v>
      </c>
      <c r="C25" t="s">
        <v>203</v>
      </c>
      <c r="D25" t="s">
        <v>205</v>
      </c>
      <c r="E25" t="s">
        <v>221</v>
      </c>
      <c r="F25" t="s">
        <v>215</v>
      </c>
    </row>
    <row r="26" spans="1:6">
      <c r="A26" t="s">
        <v>162</v>
      </c>
      <c r="B26">
        <f>B11</f>
        <v>0</v>
      </c>
      <c r="C26">
        <f>C11</f>
        <v>0</v>
      </c>
      <c r="D26">
        <f>D11</f>
        <v>0</v>
      </c>
      <c r="E26">
        <f>E11</f>
        <v>0</v>
      </c>
      <c r="F26">
        <f>F11</f>
        <v>0</v>
      </c>
    </row>
    <row r="27" spans="1:6">
      <c r="A27" t="s">
        <v>163</v>
      </c>
      <c r="B27" t="s">
        <v>192</v>
      </c>
      <c r="C27" t="s">
        <v>204</v>
      </c>
      <c r="D27" t="s">
        <v>214</v>
      </c>
      <c r="E27" t="s">
        <v>222</v>
      </c>
      <c r="F27" t="s">
        <v>229</v>
      </c>
    </row>
    <row r="28" spans="1:6">
      <c r="A28" t="s">
        <v>164</v>
      </c>
      <c r="B28">
        <f>B23*B24</f>
        <v>0</v>
      </c>
      <c r="C28">
        <f>C23*C24</f>
        <v>0</v>
      </c>
      <c r="D28">
        <f>D23*D24</f>
        <v>0</v>
      </c>
      <c r="E28">
        <f>E23*E24</f>
        <v>0</v>
      </c>
      <c r="F28">
        <f>F23*F24</f>
        <v>0</v>
      </c>
    </row>
    <row r="29" spans="1:6">
      <c r="A29" t="s">
        <v>165</v>
      </c>
      <c r="B29">
        <f>B22*12</f>
        <v>0</v>
      </c>
      <c r="C29">
        <f>C22*12</f>
        <v>0</v>
      </c>
      <c r="D29">
        <f>D22*12</f>
        <v>0</v>
      </c>
      <c r="E29">
        <f>E22*12</f>
        <v>0</v>
      </c>
      <c r="F29">
        <f>F22*12</f>
        <v>0</v>
      </c>
    </row>
    <row r="30" spans="1:6">
      <c r="A30" t="s">
        <v>166</v>
      </c>
      <c r="B30">
        <f>B25*B26</f>
        <v>0</v>
      </c>
      <c r="C30">
        <f>C25*C26</f>
        <v>0</v>
      </c>
      <c r="D30">
        <f>D25*D26</f>
        <v>0</v>
      </c>
      <c r="E30">
        <f>E25*E26</f>
        <v>0</v>
      </c>
      <c r="F30">
        <f>F25*F26</f>
        <v>0</v>
      </c>
    </row>
    <row r="31" spans="1:6">
      <c r="A31" t="s">
        <v>167</v>
      </c>
      <c r="B31">
        <f>0.909^B22</f>
        <v>0</v>
      </c>
      <c r="C31">
        <f>0.909^C22</f>
        <v>0</v>
      </c>
      <c r="D31">
        <f>0.909^D22</f>
        <v>0</v>
      </c>
      <c r="E31">
        <f>0.909^E22</f>
        <v>0</v>
      </c>
      <c r="F31">
        <f>0.909^F22</f>
        <v>0</v>
      </c>
    </row>
    <row r="32" spans="1:6">
      <c r="A32" t="s">
        <v>168</v>
      </c>
      <c r="B32">
        <f>B27*B28</f>
        <v>0</v>
      </c>
      <c r="C32">
        <f>C27*C28</f>
        <v>0</v>
      </c>
      <c r="D32">
        <f>D27*D28</f>
        <v>0</v>
      </c>
      <c r="E32">
        <f>E27*E28</f>
        <v>0</v>
      </c>
      <c r="F32">
        <f>F27*F28</f>
        <v>0</v>
      </c>
    </row>
    <row r="34" spans="1:6">
      <c r="A34" t="s">
        <v>169</v>
      </c>
    </row>
    <row r="35" spans="1:6">
      <c r="A35" t="s">
        <v>170</v>
      </c>
      <c r="B35">
        <f>B29/B19</f>
        <v>0</v>
      </c>
      <c r="C35">
        <f>C29/C19</f>
        <v>0</v>
      </c>
      <c r="D35">
        <f>D29/D19</f>
        <v>0</v>
      </c>
      <c r="E35">
        <f>E29/E19</f>
        <v>0</v>
      </c>
      <c r="F35">
        <f>F29/F19</f>
        <v>0</v>
      </c>
    </row>
    <row r="36" spans="1:6">
      <c r="A36" t="s">
        <v>171</v>
      </c>
      <c r="B36">
        <f>B20</f>
        <v>0</v>
      </c>
      <c r="C36">
        <f>C20</f>
        <v>0</v>
      </c>
      <c r="D36">
        <f>D20</f>
        <v>0</v>
      </c>
      <c r="E36">
        <f>E20</f>
        <v>0</v>
      </c>
      <c r="F36">
        <f>F20</f>
        <v>0</v>
      </c>
    </row>
    <row r="37" spans="1:6">
      <c r="A37" t="s">
        <v>172</v>
      </c>
      <c r="B37" t="s">
        <v>193</v>
      </c>
      <c r="C37" t="s">
        <v>205</v>
      </c>
      <c r="D37" t="s">
        <v>215</v>
      </c>
      <c r="E37" t="s">
        <v>188</v>
      </c>
      <c r="F37" t="s">
        <v>230</v>
      </c>
    </row>
    <row r="38" spans="1:6">
      <c r="A38" t="s">
        <v>173</v>
      </c>
      <c r="B38">
        <f>IF(B31&lt;B33,"Below","On Track")</f>
        <v>0</v>
      </c>
      <c r="C38">
        <f>IF(C31&lt;C33,"Below","On Track")</f>
        <v>0</v>
      </c>
      <c r="D38">
        <f>IF(D31&lt;D33,"Below","On Track")</f>
        <v>0</v>
      </c>
      <c r="E38">
        <f>IF(E31&lt;E33,"Below","On Track")</f>
        <v>0</v>
      </c>
      <c r="F38">
        <f>IF(F31&lt;F33,"Below","On Track")</f>
        <v>0</v>
      </c>
    </row>
    <row r="40" spans="1:6">
      <c r="A40" t="s">
        <v>174</v>
      </c>
    </row>
    <row r="41" spans="1:6">
      <c r="A41" t="s">
        <v>175</v>
      </c>
      <c r="B41">
        <f>B15</f>
        <v>0</v>
      </c>
      <c r="C41">
        <f>C15</f>
        <v>0</v>
      </c>
      <c r="D41">
        <f>D15</f>
        <v>0</v>
      </c>
      <c r="E41">
        <f>E15</f>
        <v>0</v>
      </c>
      <c r="F41">
        <f>F15</f>
        <v>0</v>
      </c>
    </row>
    <row r="43" spans="1:6">
      <c r="A43" t="s">
        <v>176</v>
      </c>
      <c r="B43" t="s">
        <v>194</v>
      </c>
      <c r="C43" t="s">
        <v>206</v>
      </c>
      <c r="D43" t="s">
        <v>216</v>
      </c>
      <c r="E43" t="s">
        <v>223</v>
      </c>
      <c r="F43" t="s">
        <v>231</v>
      </c>
    </row>
    <row r="44" spans="1:6">
      <c r="A44" t="s">
        <v>177</v>
      </c>
      <c r="B44">
        <f>IF(B36=0,0,B38/B36)</f>
        <v>0</v>
      </c>
      <c r="C44">
        <f>IF(C36=0,0,C38/C36)</f>
        <v>0</v>
      </c>
      <c r="D44">
        <f>IF(D36=0,0,D38/D36)</f>
        <v>0</v>
      </c>
      <c r="E44">
        <f>IF(E36=0,0,E38/E36)</f>
        <v>0</v>
      </c>
      <c r="F44">
        <f>IF(F36=0,0,F38/F36)</f>
        <v>0</v>
      </c>
    </row>
    <row r="45" spans="1:6">
      <c r="A45" t="s">
        <v>178</v>
      </c>
      <c r="B45">
        <f>B36-B38</f>
        <v>0</v>
      </c>
      <c r="C45">
        <f>C36-C38</f>
        <v>0</v>
      </c>
      <c r="D45">
        <f>D36-D38</f>
        <v>0</v>
      </c>
      <c r="E45">
        <f>E36-E38</f>
        <v>0</v>
      </c>
      <c r="F45">
        <f>F36-F38</f>
        <v>0</v>
      </c>
    </row>
    <row r="46" spans="1:6">
      <c r="A46" t="s">
        <v>179</v>
      </c>
      <c r="B46">
        <f>IF(B36=0,0,B40/B36)</f>
        <v>0</v>
      </c>
      <c r="C46">
        <f>IF(C36=0,0,C40/C36)</f>
        <v>0</v>
      </c>
      <c r="D46">
        <f>IF(D36=0,0,D40/D36)</f>
        <v>0</v>
      </c>
      <c r="E46">
        <f>IF(E36=0,0,E40/E36)</f>
        <v>0</v>
      </c>
      <c r="F46">
        <f>IF(F36=0,0,F40/F36)</f>
        <v>0</v>
      </c>
    </row>
    <row r="48" spans="1:6">
      <c r="A48" t="s">
        <v>180</v>
      </c>
    </row>
    <row r="49" spans="1:6">
      <c r="A49" t="s">
        <v>181</v>
      </c>
      <c r="B49" t="s">
        <v>195</v>
      </c>
      <c r="C49" t="s">
        <v>207</v>
      </c>
      <c r="D49" t="s">
        <v>217</v>
      </c>
      <c r="E49" t="s">
        <v>224</v>
      </c>
      <c r="F49" t="s">
        <v>232</v>
      </c>
    </row>
    <row r="50" spans="1:6">
      <c r="A50" t="s">
        <v>182</v>
      </c>
      <c r="B50" t="s">
        <v>190</v>
      </c>
      <c r="C50" t="s">
        <v>202</v>
      </c>
      <c r="D50" t="s">
        <v>213</v>
      </c>
      <c r="E50" t="s">
        <v>220</v>
      </c>
      <c r="F50" t="s">
        <v>216</v>
      </c>
    </row>
    <row r="51" spans="1:6">
      <c r="A51" t="s">
        <v>183</v>
      </c>
      <c r="B51" t="s">
        <v>196</v>
      </c>
      <c r="C51" t="s">
        <v>208</v>
      </c>
      <c r="D51" t="s">
        <v>213</v>
      </c>
      <c r="E51" t="s">
        <v>225</v>
      </c>
      <c r="F51" t="s">
        <v>233</v>
      </c>
    </row>
    <row r="52" spans="1:6">
      <c r="A52" t="s">
        <v>184</v>
      </c>
      <c r="B52">
        <f>SUM(B43:B45)</f>
        <v>0</v>
      </c>
      <c r="C52">
        <f>SUM(C43:C45)</f>
        <v>0</v>
      </c>
      <c r="D52">
        <f>SUM(D43:D45)</f>
        <v>0</v>
      </c>
      <c r="E52">
        <f>SUM(E43:E45)</f>
        <v>0</v>
      </c>
      <c r="F52">
        <f>SUM(F43:F45)</f>
        <v>0</v>
      </c>
    </row>
    <row r="54" spans="1:6">
      <c r="A54" t="s">
        <v>185</v>
      </c>
      <c r="B54">
        <f>B40-B46</f>
        <v>0</v>
      </c>
      <c r="C54">
        <f>C40-C46</f>
        <v>0</v>
      </c>
      <c r="D54">
        <f>D40-D46</f>
        <v>0</v>
      </c>
      <c r="E54">
        <f>E40-E46</f>
        <v>0</v>
      </c>
      <c r="F54">
        <f>F40-F46</f>
        <v>0</v>
      </c>
    </row>
    <row r="55" spans="1:6">
      <c r="A55" t="s">
        <v>186</v>
      </c>
      <c r="B55">
        <f>IF(B36=0,0,B48/B36)</f>
        <v>0</v>
      </c>
      <c r="C55">
        <f>IF(C36=0,0,C48/C36)</f>
        <v>0</v>
      </c>
      <c r="D55">
        <f>IF(D36=0,0,D48/D36)</f>
        <v>0</v>
      </c>
      <c r="E55">
        <f>IF(E36=0,0,E48/E36)</f>
        <v>0</v>
      </c>
      <c r="F55">
        <f>IF(F36=0,0,F48/F36)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cols>
    <col min="1" max="1" width="38.7109375" customWidth="1"/>
    <col min="2" max="2" width="18.7109375" customWidth="1"/>
    <col min="3" max="3" width="27.7109375" customWidth="1"/>
    <col min="4" max="4" width="38.7109375" customWidth="1"/>
  </cols>
  <sheetData>
    <row r="1" spans="1:4">
      <c r="A1" t="s">
        <v>299</v>
      </c>
    </row>
    <row r="3" spans="1:4">
      <c r="A3" t="s">
        <v>235</v>
      </c>
      <c r="B3" t="s">
        <v>266</v>
      </c>
      <c r="C3" t="s">
        <v>270</v>
      </c>
      <c r="D3" t="s">
        <v>117</v>
      </c>
    </row>
    <row r="5" spans="1:4">
      <c r="A5" t="s">
        <v>236</v>
      </c>
      <c r="B5" t="s">
        <v>267</v>
      </c>
      <c r="C5" t="s">
        <v>271</v>
      </c>
      <c r="D5" t="s">
        <v>282</v>
      </c>
    </row>
    <row r="6" spans="1:4">
      <c r="A6" t="s">
        <v>237</v>
      </c>
      <c r="B6" t="s">
        <v>55</v>
      </c>
      <c r="C6" t="s">
        <v>272</v>
      </c>
      <c r="D6" t="s">
        <v>283</v>
      </c>
    </row>
    <row r="7" spans="1:4">
      <c r="A7" t="s">
        <v>238</v>
      </c>
      <c r="B7" t="s">
        <v>56</v>
      </c>
      <c r="C7" t="s">
        <v>273</v>
      </c>
      <c r="D7" t="s">
        <v>284</v>
      </c>
    </row>
    <row r="8" spans="1:4">
      <c r="A8" t="s">
        <v>239</v>
      </c>
      <c r="B8" t="s">
        <v>42</v>
      </c>
      <c r="C8" t="s">
        <v>274</v>
      </c>
      <c r="D8" t="s">
        <v>285</v>
      </c>
    </row>
    <row r="9" spans="1:4">
      <c r="A9" t="s">
        <v>240</v>
      </c>
      <c r="B9">
        <f>SUM(B5:B8)</f>
        <v>0</v>
      </c>
      <c r="C9">
        <f>SUM(B5:B8)</f>
        <v>0</v>
      </c>
    </row>
    <row r="11" spans="1:4">
      <c r="A11" t="s">
        <v>241</v>
      </c>
    </row>
    <row r="12" spans="1:4">
      <c r="A12" t="s">
        <v>242</v>
      </c>
      <c r="B12" t="s">
        <v>198</v>
      </c>
      <c r="C12" t="s">
        <v>275</v>
      </c>
      <c r="D12" t="s">
        <v>286</v>
      </c>
    </row>
    <row r="13" spans="1:4">
      <c r="A13" t="s">
        <v>243</v>
      </c>
      <c r="B13" t="s">
        <v>268</v>
      </c>
      <c r="C13" t="s">
        <v>275</v>
      </c>
      <c r="D13" t="s">
        <v>287</v>
      </c>
    </row>
    <row r="14" spans="1:4">
      <c r="A14" t="s">
        <v>244</v>
      </c>
      <c r="B14" t="s">
        <v>230</v>
      </c>
      <c r="C14" t="s">
        <v>275</v>
      </c>
      <c r="D14" t="s">
        <v>288</v>
      </c>
    </row>
    <row r="15" spans="1:4">
      <c r="A15" t="s">
        <v>245</v>
      </c>
      <c r="B15">
        <f>SUM(B12:B14)</f>
        <v>0</v>
      </c>
      <c r="C15">
        <f>SUM(B12:B14)</f>
        <v>0</v>
      </c>
    </row>
    <row r="17" spans="1:4">
      <c r="A17" t="s">
        <v>246</v>
      </c>
    </row>
    <row r="18" spans="1:4">
      <c r="A18" t="s">
        <v>247</v>
      </c>
      <c r="B18" t="s">
        <v>201</v>
      </c>
      <c r="C18" t="s">
        <v>276</v>
      </c>
    </row>
    <row r="19" spans="1:4">
      <c r="A19" t="s">
        <v>163</v>
      </c>
      <c r="B19" t="s">
        <v>192</v>
      </c>
      <c r="C19" t="s">
        <v>277</v>
      </c>
    </row>
    <row r="20" spans="1:4">
      <c r="A20" t="s">
        <v>248</v>
      </c>
      <c r="B20">
        <f>B17*(1-B18)-B15</f>
        <v>0</v>
      </c>
      <c r="C20">
        <f>B17*(1-B18)-B15</f>
        <v>0</v>
      </c>
      <c r="D20" t="s">
        <v>289</v>
      </c>
    </row>
    <row r="22" spans="1:4">
      <c r="A22" t="s">
        <v>249</v>
      </c>
    </row>
    <row r="23" spans="1:4">
      <c r="A23" t="s">
        <v>250</v>
      </c>
      <c r="B23">
        <f>B9</f>
        <v>0</v>
      </c>
      <c r="C23">
        <f>B9</f>
        <v>0</v>
      </c>
    </row>
    <row r="24" spans="1:4">
      <c r="A24" t="s">
        <v>248</v>
      </c>
      <c r="B24">
        <f>B19</f>
        <v>0</v>
      </c>
      <c r="C24">
        <f>B19</f>
        <v>0</v>
      </c>
    </row>
    <row r="25" spans="1:4">
      <c r="A25" t="s">
        <v>251</v>
      </c>
      <c r="B25">
        <f>B21/B22</f>
        <v>0</v>
      </c>
      <c r="C25">
        <f>B21/B22</f>
        <v>0</v>
      </c>
      <c r="D25" t="s">
        <v>290</v>
      </c>
    </row>
    <row r="27" spans="1:4">
      <c r="A27" t="s">
        <v>252</v>
      </c>
    </row>
    <row r="28" spans="1:4">
      <c r="A28" t="s">
        <v>253</v>
      </c>
      <c r="B28">
        <f>B23</f>
        <v>0</v>
      </c>
      <c r="D28" t="s">
        <v>291</v>
      </c>
    </row>
    <row r="29" spans="1:4">
      <c r="A29" t="s">
        <v>254</v>
      </c>
      <c r="B29" t="s">
        <v>215</v>
      </c>
      <c r="C29" t="s">
        <v>131</v>
      </c>
      <c r="D29" t="s">
        <v>292</v>
      </c>
    </row>
    <row r="30" spans="1:4">
      <c r="A30" t="s">
        <v>255</v>
      </c>
      <c r="B30">
        <f>B25/B26</f>
        <v>0</v>
      </c>
      <c r="C30">
        <f>B25/B26</f>
        <v>0</v>
      </c>
      <c r="D30" t="s">
        <v>293</v>
      </c>
    </row>
    <row r="31" spans="1:4">
      <c r="A31" t="s">
        <v>256</v>
      </c>
      <c r="B31">
        <f>9+B27</f>
        <v>0</v>
      </c>
      <c r="C31">
        <f>9+B27</f>
        <v>0</v>
      </c>
      <c r="D31" t="s">
        <v>294</v>
      </c>
    </row>
    <row r="33" spans="1:4">
      <c r="A33" t="s">
        <v>257</v>
      </c>
    </row>
    <row r="34" spans="1:4">
      <c r="A34" t="s">
        <v>258</v>
      </c>
      <c r="B34" t="s">
        <v>100</v>
      </c>
      <c r="C34" t="s">
        <v>278</v>
      </c>
    </row>
    <row r="35" spans="1:4">
      <c r="A35" t="s">
        <v>259</v>
      </c>
      <c r="B35" t="s">
        <v>269</v>
      </c>
      <c r="C35" t="s">
        <v>279</v>
      </c>
    </row>
    <row r="36" spans="1:4">
      <c r="A36" t="s">
        <v>248</v>
      </c>
      <c r="B36">
        <f>B30*(1-B31)-B15</f>
        <v>0</v>
      </c>
      <c r="C36">
        <f>B30*(1-B31)-B15</f>
        <v>0</v>
      </c>
      <c r="D36" t="s">
        <v>295</v>
      </c>
    </row>
    <row r="37" spans="1:4">
      <c r="A37" t="s">
        <v>260</v>
      </c>
      <c r="B37">
        <f>B21/B32</f>
        <v>0</v>
      </c>
      <c r="C37">
        <f>B21/B32</f>
        <v>0</v>
      </c>
    </row>
    <row r="38" spans="1:4">
      <c r="A38" t="s">
        <v>261</v>
      </c>
      <c r="B38">
        <f>B33/B26</f>
        <v>0</v>
      </c>
      <c r="C38">
        <f>B33/B26</f>
        <v>0</v>
      </c>
      <c r="D38" t="s">
        <v>296</v>
      </c>
    </row>
    <row r="40" spans="1:4">
      <c r="A40" t="s">
        <v>262</v>
      </c>
    </row>
    <row r="41" spans="1:4">
      <c r="A41" t="s">
        <v>263</v>
      </c>
      <c r="B41" t="s">
        <v>219</v>
      </c>
      <c r="C41" t="s">
        <v>280</v>
      </c>
    </row>
    <row r="42" spans="1:4">
      <c r="A42" t="s">
        <v>264</v>
      </c>
      <c r="B42" t="s">
        <v>222</v>
      </c>
      <c r="C42" t="s">
        <v>281</v>
      </c>
    </row>
    <row r="43" spans="1:4">
      <c r="A43" t="s">
        <v>248</v>
      </c>
      <c r="B43">
        <f>B35*(1-B36)-B15</f>
        <v>0</v>
      </c>
      <c r="C43">
        <f>B35*(1-B36)-B15</f>
        <v>0</v>
      </c>
      <c r="D43" t="s">
        <v>297</v>
      </c>
    </row>
    <row r="44" spans="1:4">
      <c r="A44" t="s">
        <v>260</v>
      </c>
      <c r="B44">
        <f>B21/B37</f>
        <v>0</v>
      </c>
      <c r="C44">
        <f>B21/B37</f>
        <v>0</v>
      </c>
    </row>
    <row r="45" spans="1:4">
      <c r="A45" t="s">
        <v>265</v>
      </c>
      <c r="B45">
        <f>B38/B26</f>
        <v>0</v>
      </c>
      <c r="C45">
        <f>B38/B26</f>
        <v>0</v>
      </c>
      <c r="D45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cols>
    <col min="1" max="1" width="50.7109375" customWidth="1"/>
    <col min="2" max="2" width="27.7109375" customWidth="1"/>
    <col min="3" max="3" width="28.7109375" customWidth="1"/>
    <col min="4" max="4" width="41.7109375" customWidth="1"/>
  </cols>
  <sheetData>
    <row r="1" spans="1:4">
      <c r="A1" t="s">
        <v>374</v>
      </c>
    </row>
    <row r="3" spans="1:4">
      <c r="A3" t="s">
        <v>72</v>
      </c>
      <c r="B3" t="s">
        <v>99</v>
      </c>
      <c r="C3" t="s">
        <v>108</v>
      </c>
      <c r="D3" t="s">
        <v>117</v>
      </c>
    </row>
    <row r="5" spans="1:4">
      <c r="A5" t="s">
        <v>300</v>
      </c>
      <c r="B5" t="s">
        <v>63</v>
      </c>
      <c r="C5" t="s">
        <v>109</v>
      </c>
      <c r="D5" t="s">
        <v>346</v>
      </c>
    </row>
    <row r="6" spans="1:4">
      <c r="A6" t="s">
        <v>301</v>
      </c>
      <c r="B6" t="s">
        <v>330</v>
      </c>
      <c r="C6" t="s">
        <v>337</v>
      </c>
      <c r="D6" t="s">
        <v>347</v>
      </c>
    </row>
    <row r="7" spans="1:4">
      <c r="A7" t="s">
        <v>302</v>
      </c>
      <c r="B7">
        <f>B5*B6</f>
        <v>0</v>
      </c>
      <c r="C7">
        <f>B5*B6</f>
        <v>0</v>
      </c>
      <c r="D7" t="s">
        <v>348</v>
      </c>
    </row>
    <row r="8" spans="1:4">
      <c r="A8" t="s">
        <v>303</v>
      </c>
      <c r="B8" t="s">
        <v>331</v>
      </c>
      <c r="C8" t="s">
        <v>109</v>
      </c>
      <c r="D8" t="s">
        <v>349</v>
      </c>
    </row>
    <row r="9" spans="1:4">
      <c r="A9" t="s">
        <v>304</v>
      </c>
      <c r="B9">
        <f>B7*B8</f>
        <v>0</v>
      </c>
      <c r="C9">
        <f>B7*B8</f>
        <v>0</v>
      </c>
      <c r="D9" t="s">
        <v>350</v>
      </c>
    </row>
    <row r="10" spans="1:4">
      <c r="A10" t="s">
        <v>305</v>
      </c>
      <c r="B10" t="s">
        <v>332</v>
      </c>
      <c r="C10" t="s">
        <v>109</v>
      </c>
      <c r="D10" t="s">
        <v>351</v>
      </c>
    </row>
    <row r="11" spans="1:4">
      <c r="A11" t="s">
        <v>306</v>
      </c>
      <c r="B11" t="s">
        <v>269</v>
      </c>
      <c r="C11" t="s">
        <v>338</v>
      </c>
      <c r="D11" t="s">
        <v>352</v>
      </c>
    </row>
    <row r="13" spans="1:4">
      <c r="A13" t="s">
        <v>78</v>
      </c>
    </row>
    <row r="14" spans="1:4">
      <c r="A14" t="s">
        <v>300</v>
      </c>
      <c r="B14">
        <f>B5</f>
        <v>0</v>
      </c>
      <c r="C14" t="s">
        <v>110</v>
      </c>
      <c r="D14" t="s">
        <v>353</v>
      </c>
    </row>
    <row r="15" spans="1:4">
      <c r="A15" t="s">
        <v>307</v>
      </c>
      <c r="B15" t="s">
        <v>333</v>
      </c>
      <c r="C15" t="s">
        <v>339</v>
      </c>
      <c r="D15" t="s">
        <v>354</v>
      </c>
    </row>
    <row r="16" spans="1:4">
      <c r="A16" t="s">
        <v>302</v>
      </c>
      <c r="B16">
        <f>B14*B15</f>
        <v>0</v>
      </c>
      <c r="C16">
        <f>B14*B15</f>
        <v>0</v>
      </c>
      <c r="D16" t="s">
        <v>355</v>
      </c>
    </row>
    <row r="17" spans="1:4">
      <c r="A17" t="s">
        <v>303</v>
      </c>
      <c r="B17">
        <f>B8</f>
        <v>0</v>
      </c>
      <c r="C17" t="s">
        <v>340</v>
      </c>
      <c r="D17" t="s">
        <v>356</v>
      </c>
    </row>
    <row r="18" spans="1:4">
      <c r="A18" t="s">
        <v>308</v>
      </c>
      <c r="B18">
        <f>B16*B17</f>
        <v>0</v>
      </c>
      <c r="C18">
        <f>B16*B17</f>
        <v>0</v>
      </c>
      <c r="D18" t="s">
        <v>357</v>
      </c>
    </row>
    <row r="19" spans="1:4">
      <c r="A19" t="s">
        <v>305</v>
      </c>
      <c r="B19" t="s">
        <v>193</v>
      </c>
      <c r="C19" t="s">
        <v>109</v>
      </c>
      <c r="D19" t="s">
        <v>358</v>
      </c>
    </row>
    <row r="20" spans="1:4">
      <c r="A20" t="s">
        <v>309</v>
      </c>
      <c r="B20" t="s">
        <v>229</v>
      </c>
      <c r="C20" t="s">
        <v>341</v>
      </c>
      <c r="D20" t="s">
        <v>359</v>
      </c>
    </row>
    <row r="22" spans="1:4">
      <c r="A22" t="s">
        <v>310</v>
      </c>
    </row>
    <row r="23" spans="1:4">
      <c r="A23" t="s">
        <v>311</v>
      </c>
      <c r="B23">
        <f>B9-B18</f>
        <v>0</v>
      </c>
      <c r="C23">
        <f>B9-B18</f>
        <v>0</v>
      </c>
      <c r="D23" t="s">
        <v>360</v>
      </c>
    </row>
    <row r="24" spans="1:4">
      <c r="A24" t="s">
        <v>312</v>
      </c>
      <c r="B24">
        <f>(B5*(B10-B19))</f>
        <v>0</v>
      </c>
      <c r="C24">
        <f>B5*(B10-B19)</f>
        <v>0</v>
      </c>
      <c r="D24" t="s">
        <v>361</v>
      </c>
    </row>
    <row r="25" spans="1:4">
      <c r="A25" t="s">
        <v>313</v>
      </c>
      <c r="B25">
        <f>B21/2000</f>
        <v>0</v>
      </c>
      <c r="C25">
        <f>B21/2000</f>
        <v>0</v>
      </c>
      <c r="D25" t="s">
        <v>362</v>
      </c>
    </row>
    <row r="26" spans="1:4">
      <c r="A26" t="s">
        <v>314</v>
      </c>
      <c r="B26">
        <f>B22*150000</f>
        <v>0</v>
      </c>
      <c r="C26">
        <f>B22*150000</f>
        <v>0</v>
      </c>
      <c r="D26" t="s">
        <v>363</v>
      </c>
    </row>
    <row r="27" spans="1:4">
      <c r="A27" t="s">
        <v>315</v>
      </c>
      <c r="B27">
        <f>(B5*(B20-B11))*50000</f>
        <v>0</v>
      </c>
      <c r="C27">
        <f>B5*(B20-B11)*50000</f>
        <v>0</v>
      </c>
      <c r="D27" t="s">
        <v>364</v>
      </c>
    </row>
    <row r="29" spans="1:4">
      <c r="A29" t="s">
        <v>316</v>
      </c>
    </row>
    <row r="30" spans="1:4">
      <c r="A30" t="s">
        <v>317</v>
      </c>
      <c r="B30" t="s">
        <v>334</v>
      </c>
      <c r="C30" t="s">
        <v>342</v>
      </c>
      <c r="D30" t="s">
        <v>365</v>
      </c>
    </row>
    <row r="31" spans="1:4">
      <c r="A31" t="s">
        <v>318</v>
      </c>
      <c r="B31" t="s">
        <v>335</v>
      </c>
      <c r="C31" t="s">
        <v>343</v>
      </c>
      <c r="D31" t="s">
        <v>366</v>
      </c>
    </row>
    <row r="32" spans="1:4">
      <c r="A32" t="s">
        <v>319</v>
      </c>
      <c r="B32">
        <f>B27*B28</f>
        <v>0</v>
      </c>
      <c r="C32">
        <f>B27*B28</f>
        <v>0</v>
      </c>
      <c r="D32" t="s">
        <v>367</v>
      </c>
    </row>
    <row r="34" spans="1:4">
      <c r="A34" t="s">
        <v>320</v>
      </c>
    </row>
    <row r="35" spans="1:4">
      <c r="A35" t="s">
        <v>321</v>
      </c>
      <c r="B35">
        <f>B20+B23+B24</f>
        <v>0</v>
      </c>
      <c r="C35">
        <f>B20+B23+B24</f>
        <v>0</v>
      </c>
      <c r="D35" t="s">
        <v>368</v>
      </c>
    </row>
    <row r="36" spans="1:4">
      <c r="A36" t="s">
        <v>322</v>
      </c>
      <c r="B36">
        <f>B29</f>
        <v>0</v>
      </c>
      <c r="C36">
        <f>B29</f>
        <v>0</v>
      </c>
      <c r="D36" t="s">
        <v>369</v>
      </c>
    </row>
    <row r="37" spans="1:4">
      <c r="A37" t="s">
        <v>323</v>
      </c>
      <c r="B37">
        <f>B31-B32</f>
        <v>0</v>
      </c>
      <c r="C37">
        <f>B31-B32</f>
        <v>0</v>
      </c>
      <c r="D37" t="s">
        <v>370</v>
      </c>
    </row>
    <row r="38" spans="1:4">
      <c r="A38" t="s">
        <v>324</v>
      </c>
      <c r="B38">
        <f>IF(B32=0,0,B33/B32)</f>
        <v>0</v>
      </c>
      <c r="C38">
        <f>IF(B32=0,0,B33/B32)</f>
        <v>0</v>
      </c>
      <c r="D38" t="s">
        <v>371</v>
      </c>
    </row>
    <row r="40" spans="1:4">
      <c r="A40" t="s">
        <v>325</v>
      </c>
    </row>
    <row r="41" spans="1:4">
      <c r="A41" t="s">
        <v>326</v>
      </c>
      <c r="B41" t="s">
        <v>336</v>
      </c>
      <c r="C41" t="s">
        <v>344</v>
      </c>
    </row>
    <row r="42" spans="1:4">
      <c r="A42" t="s">
        <v>327</v>
      </c>
      <c r="B42">
        <f>B26&amp;"% of funded volume"</f>
        <v>0</v>
      </c>
      <c r="C42" t="s">
        <v>345</v>
      </c>
    </row>
    <row r="43" spans="1:4">
      <c r="A43" t="s">
        <v>328</v>
      </c>
      <c r="B43">
        <f>B32/B26</f>
        <v>0</v>
      </c>
      <c r="C43">
        <f>B32/B26</f>
        <v>0</v>
      </c>
      <c r="D43" t="s">
        <v>372</v>
      </c>
    </row>
    <row r="44" spans="1:4">
      <c r="A44" t="s">
        <v>329</v>
      </c>
      <c r="B44">
        <f>B39/100000</f>
        <v>0</v>
      </c>
      <c r="C44">
        <f>B39/100000</f>
        <v>0</v>
      </c>
      <c r="D44" t="s">
        <v>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cols>
    <col min="1" max="1" width="50.7109375" customWidth="1"/>
    <col min="2" max="2" width="32.7109375" customWidth="1"/>
    <col min="3" max="3" width="41.7109375" customWidth="1"/>
  </cols>
  <sheetData>
    <row r="1" spans="1:3">
      <c r="A1" t="s">
        <v>429</v>
      </c>
    </row>
    <row r="3" spans="1:3">
      <c r="A3" t="s">
        <v>375</v>
      </c>
      <c r="B3" t="s">
        <v>409</v>
      </c>
      <c r="C3" t="s">
        <v>413</v>
      </c>
    </row>
    <row r="5" spans="1:3">
      <c r="A5" t="s">
        <v>376</v>
      </c>
    </row>
    <row r="6" spans="1:3">
      <c r="A6" t="s">
        <v>377</v>
      </c>
      <c r="B6" t="s">
        <v>188</v>
      </c>
      <c r="C6" t="s">
        <v>414</v>
      </c>
    </row>
    <row r="7" spans="1:3">
      <c r="A7" t="s">
        <v>378</v>
      </c>
      <c r="B7" t="s">
        <v>215</v>
      </c>
      <c r="C7" t="s">
        <v>415</v>
      </c>
    </row>
    <row r="9" spans="1:3">
      <c r="A9" t="s">
        <v>379</v>
      </c>
    </row>
    <row r="10" spans="1:3">
      <c r="A10" t="s">
        <v>380</v>
      </c>
      <c r="B10" t="s">
        <v>47</v>
      </c>
      <c r="C10" t="s">
        <v>416</v>
      </c>
    </row>
    <row r="11" spans="1:3">
      <c r="A11" t="s">
        <v>381</v>
      </c>
      <c r="B11" t="s">
        <v>54</v>
      </c>
      <c r="C11" t="s">
        <v>416</v>
      </c>
    </row>
    <row r="12" spans="1:3">
      <c r="A12" t="s">
        <v>382</v>
      </c>
      <c r="B12" t="s">
        <v>46</v>
      </c>
      <c r="C12" t="s">
        <v>416</v>
      </c>
    </row>
    <row r="13" spans="1:3">
      <c r="A13" t="s">
        <v>383</v>
      </c>
      <c r="B13" t="s">
        <v>410</v>
      </c>
      <c r="C13" t="s">
        <v>417</v>
      </c>
    </row>
    <row r="14" spans="1:3">
      <c r="A14" t="s">
        <v>384</v>
      </c>
      <c r="B14" t="s">
        <v>411</v>
      </c>
      <c r="C14" t="s">
        <v>418</v>
      </c>
    </row>
    <row r="15" spans="1:3">
      <c r="A15" t="s">
        <v>385</v>
      </c>
      <c r="B15" t="s">
        <v>105</v>
      </c>
      <c r="C15" t="s">
        <v>419</v>
      </c>
    </row>
    <row r="17" spans="1:3">
      <c r="A17" t="s">
        <v>386</v>
      </c>
    </row>
    <row r="18" spans="1:3">
      <c r="A18" t="s">
        <v>387</v>
      </c>
      <c r="B18" t="s">
        <v>267</v>
      </c>
      <c r="C18" t="s">
        <v>420</v>
      </c>
    </row>
    <row r="19" spans="1:3">
      <c r="A19" t="s">
        <v>388</v>
      </c>
      <c r="B19" t="s">
        <v>55</v>
      </c>
      <c r="C19" t="s">
        <v>421</v>
      </c>
    </row>
    <row r="20" spans="1:3">
      <c r="A20" t="s">
        <v>389</v>
      </c>
      <c r="B20" t="s">
        <v>211</v>
      </c>
      <c r="C20" t="s">
        <v>422</v>
      </c>
    </row>
    <row r="22" spans="1:3">
      <c r="A22" t="s">
        <v>390</v>
      </c>
      <c r="B22" t="s">
        <v>108</v>
      </c>
      <c r="C22" t="s">
        <v>423</v>
      </c>
    </row>
    <row r="24" spans="1:3">
      <c r="A24" t="s">
        <v>391</v>
      </c>
      <c r="B24">
        <f>(D11*D14)+(D11*D15)+(D11*D16)</f>
        <v>0</v>
      </c>
    </row>
    <row r="25" spans="1:3">
      <c r="A25" t="s">
        <v>392</v>
      </c>
      <c r="B25">
        <f>E20*12</f>
        <v>0</v>
      </c>
    </row>
    <row r="27" spans="1:3">
      <c r="A27" t="s">
        <v>393</v>
      </c>
    </row>
    <row r="28" spans="1:3">
      <c r="A28" t="s">
        <v>394</v>
      </c>
      <c r="B28">
        <f>D18+D19</f>
        <v>0</v>
      </c>
    </row>
    <row r="29" spans="1:3">
      <c r="A29" t="s">
        <v>395</v>
      </c>
      <c r="B29">
        <f>(E20*(1-0.25))-D20</f>
        <v>0</v>
      </c>
      <c r="C29" t="s">
        <v>424</v>
      </c>
    </row>
    <row r="30" spans="1:3">
      <c r="A30" t="s">
        <v>396</v>
      </c>
      <c r="B30">
        <f>IF(E24=0,"N/A",E23/E24)</f>
        <v>0</v>
      </c>
    </row>
    <row r="32" spans="1:3">
      <c r="A32" t="s">
        <v>397</v>
      </c>
    </row>
    <row r="33" spans="1:3">
      <c r="A33" t="s">
        <v>398</v>
      </c>
      <c r="B33">
        <f>E20*0.8</f>
        <v>0</v>
      </c>
    </row>
    <row r="34" spans="1:3">
      <c r="A34" t="s">
        <v>399</v>
      </c>
      <c r="B34">
        <f>(E27*(1-0.25))-D20</f>
        <v>0</v>
      </c>
    </row>
    <row r="35" spans="1:3">
      <c r="A35" t="s">
        <v>400</v>
      </c>
      <c r="B35">
        <f>IF(E28=0,"N/A",E23/E28)</f>
        <v>0</v>
      </c>
    </row>
    <row r="36" spans="1:3">
      <c r="A36" t="s">
        <v>401</v>
      </c>
      <c r="B36">
        <f>IF(E29="N/A","N/A",E29-E25)</f>
        <v>0</v>
      </c>
      <c r="C36" t="s">
        <v>425</v>
      </c>
    </row>
    <row r="38" spans="1:3">
      <c r="A38" t="s">
        <v>402</v>
      </c>
    </row>
    <row r="39" spans="1:3">
      <c r="A39" t="s">
        <v>403</v>
      </c>
      <c r="B39">
        <f>100/(D8/2)</f>
        <v>0</v>
      </c>
      <c r="C39" t="s">
        <v>426</v>
      </c>
    </row>
    <row r="40" spans="1:3">
      <c r="A40" t="s">
        <v>404</v>
      </c>
      <c r="B40">
        <f>9+E32</f>
        <v>0</v>
      </c>
      <c r="C40" t="s">
        <v>427</v>
      </c>
    </row>
    <row r="42" spans="1:3">
      <c r="A42" t="s">
        <v>405</v>
      </c>
    </row>
    <row r="43" spans="1:3">
      <c r="A43" t="s">
        <v>406</v>
      </c>
      <c r="B43" t="s">
        <v>412</v>
      </c>
    </row>
    <row r="44" spans="1:3">
      <c r="A44" t="s">
        <v>407</v>
      </c>
      <c r="B44">
        <f>(2000+500)*20</f>
        <v>0</v>
      </c>
    </row>
    <row r="45" spans="1:3">
      <c r="A45" t="s">
        <v>408</v>
      </c>
      <c r="B45">
        <f>E35-60000</f>
        <v>0</v>
      </c>
      <c r="C4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Seed Budget (Formulas)</vt:lpstr>
      <vt:lpstr>Dealer Economics (Formulas)</vt:lpstr>
      <vt:lpstr>Unit Economics (Formulas)</vt:lpstr>
      <vt:lpstr>Break-Even (Formulas)</vt:lpstr>
      <vt:lpstr>Lender Economics (Formulas)</vt:lpstr>
      <vt:lpstr>Scenario Tester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2025-12-13T08:43:07Z</dcterms:created>
  <dcterms:modified xsi:type="dcterms:W3CDTF">2025-12-13T08:43:07Z</dcterms:modified>
</cp:coreProperties>
</file>